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usMuschaweck\Documents\BUSINESS\OptikDesign\JMOptics\Kurse\IlluminationOptics\Online-Kurse\ModelingSourcesAndSystems\Materials\"/>
    </mc:Choice>
  </mc:AlternateContent>
  <xr:revisionPtr revIDLastSave="0" documentId="13_ncr:1_{14448DE6-C1A6-4B01-BE50-1B766B6C976C}" xr6:coauthVersionLast="47" xr6:coauthVersionMax="47" xr10:uidLastSave="{00000000-0000-0000-0000-000000000000}"/>
  <bookViews>
    <workbookView xWindow="-23136" yWindow="0" windowWidth="23232" windowHeight="25296" xr2:uid="{2404FF1C-8706-4BBF-B845-1757FA66F213}"/>
  </bookViews>
  <sheets>
    <sheet name="cosn" sheetId="2" r:id="rId1"/>
    <sheet name="LightTools slice merit function" sheetId="4" r:id="rId2"/>
    <sheet name="LightTools apodization fi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" l="1"/>
  <c r="E20" i="2"/>
  <c r="D20" i="2"/>
  <c r="F17" i="2"/>
  <c r="F16" i="2"/>
  <c r="F15" i="2" s="1"/>
  <c r="F18" i="2" s="1"/>
  <c r="D19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4" i="2"/>
  <c r="M3" i="2"/>
  <c r="L3" i="2"/>
  <c r="K3" i="2"/>
  <c r="B16" i="2" l="1"/>
  <c r="B19" i="2" l="1"/>
  <c r="B20" i="2"/>
  <c r="E221" i="4"/>
  <c r="G130" i="4" l="1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39" i="4"/>
  <c r="D15" i="2" l="1"/>
  <c r="D18" i="2" s="1"/>
  <c r="E15" i="2"/>
  <c r="E16" i="2" l="1"/>
  <c r="E19" i="2" s="1"/>
  <c r="E17" i="2"/>
  <c r="D17" i="2"/>
  <c r="O5" i="2" l="1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4" i="2"/>
  <c r="L143" i="2" l="1"/>
  <c r="K143" i="2"/>
  <c r="K103" i="2"/>
  <c r="L103" i="2"/>
  <c r="K63" i="2"/>
  <c r="L63" i="2"/>
  <c r="K142" i="2"/>
  <c r="L142" i="2"/>
  <c r="L159" i="2"/>
  <c r="K159" i="2"/>
  <c r="L95" i="2"/>
  <c r="K95" i="2"/>
  <c r="L12" i="2"/>
  <c r="K12" i="2"/>
  <c r="K166" i="2"/>
  <c r="L166" i="2"/>
  <c r="K110" i="2"/>
  <c r="L110" i="2"/>
  <c r="K78" i="2"/>
  <c r="L78" i="2"/>
  <c r="K35" i="2"/>
  <c r="L35" i="2"/>
  <c r="L181" i="2"/>
  <c r="K181" i="2"/>
  <c r="L125" i="2"/>
  <c r="K125" i="2"/>
  <c r="K85" i="2"/>
  <c r="L85" i="2"/>
  <c r="K77" i="2"/>
  <c r="L77" i="2"/>
  <c r="L69" i="2"/>
  <c r="K69" i="2"/>
  <c r="K61" i="2"/>
  <c r="L61" i="2"/>
  <c r="K53" i="2"/>
  <c r="L53" i="2"/>
  <c r="L45" i="2"/>
  <c r="K45" i="2"/>
  <c r="K34" i="2"/>
  <c r="L34" i="2"/>
  <c r="L26" i="2"/>
  <c r="K26" i="2"/>
  <c r="K18" i="2"/>
  <c r="L18" i="2"/>
  <c r="L10" i="2"/>
  <c r="K10" i="2"/>
  <c r="K175" i="2"/>
  <c r="L175" i="2"/>
  <c r="K127" i="2"/>
  <c r="L127" i="2"/>
  <c r="K71" i="2"/>
  <c r="L71" i="2"/>
  <c r="K47" i="2"/>
  <c r="L47" i="2"/>
  <c r="L158" i="2"/>
  <c r="K158" i="2"/>
  <c r="L102" i="2"/>
  <c r="K102" i="2"/>
  <c r="L70" i="2"/>
  <c r="K70" i="2"/>
  <c r="K11" i="2"/>
  <c r="L11" i="2"/>
  <c r="L141" i="2"/>
  <c r="K141" i="2"/>
  <c r="L109" i="2"/>
  <c r="K109" i="2"/>
  <c r="K180" i="2"/>
  <c r="L180" i="2"/>
  <c r="K172" i="2"/>
  <c r="L172" i="2"/>
  <c r="K164" i="2"/>
  <c r="L164" i="2"/>
  <c r="L156" i="2"/>
  <c r="K156" i="2"/>
  <c r="K148" i="2"/>
  <c r="L148" i="2"/>
  <c r="L140" i="2"/>
  <c r="K140" i="2"/>
  <c r="L132" i="2"/>
  <c r="K132" i="2"/>
  <c r="L124" i="2"/>
  <c r="K124" i="2"/>
  <c r="K116" i="2"/>
  <c r="L116" i="2"/>
  <c r="K108" i="2"/>
  <c r="L108" i="2"/>
  <c r="K100" i="2"/>
  <c r="L100" i="2"/>
  <c r="K92" i="2"/>
  <c r="L92" i="2"/>
  <c r="K84" i="2"/>
  <c r="L84" i="2"/>
  <c r="K76" i="2"/>
  <c r="L76" i="2"/>
  <c r="K68" i="2"/>
  <c r="L68" i="2"/>
  <c r="K60" i="2"/>
  <c r="L60" i="2"/>
  <c r="K52" i="2"/>
  <c r="L52" i="2"/>
  <c r="K44" i="2"/>
  <c r="L44" i="2"/>
  <c r="L33" i="2"/>
  <c r="K33" i="2"/>
  <c r="L25" i="2"/>
  <c r="K25" i="2"/>
  <c r="L17" i="2"/>
  <c r="K17" i="2"/>
  <c r="K9" i="2"/>
  <c r="L9" i="2"/>
  <c r="L119" i="2"/>
  <c r="K119" i="2"/>
  <c r="L55" i="2"/>
  <c r="K55" i="2"/>
  <c r="L134" i="2"/>
  <c r="K134" i="2"/>
  <c r="K54" i="2"/>
  <c r="L54" i="2"/>
  <c r="K157" i="2"/>
  <c r="L157" i="2"/>
  <c r="K101" i="2"/>
  <c r="L101" i="2"/>
  <c r="K187" i="2"/>
  <c r="L187" i="2"/>
  <c r="K179" i="2"/>
  <c r="L179" i="2"/>
  <c r="K171" i="2"/>
  <c r="L171" i="2"/>
  <c r="L163" i="2"/>
  <c r="K163" i="2"/>
  <c r="L155" i="2"/>
  <c r="K155" i="2"/>
  <c r="K147" i="2"/>
  <c r="L147" i="2"/>
  <c r="K139" i="2"/>
  <c r="L139" i="2"/>
  <c r="L131" i="2"/>
  <c r="K131" i="2"/>
  <c r="K123" i="2"/>
  <c r="L123" i="2"/>
  <c r="L115" i="2"/>
  <c r="K115" i="2"/>
  <c r="L107" i="2"/>
  <c r="K107" i="2"/>
  <c r="L99" i="2"/>
  <c r="K99" i="2"/>
  <c r="L91" i="2"/>
  <c r="K91" i="2"/>
  <c r="L83" i="2"/>
  <c r="K83" i="2"/>
  <c r="L75" i="2"/>
  <c r="K75" i="2"/>
  <c r="K67" i="2"/>
  <c r="L67" i="2"/>
  <c r="K59" i="2"/>
  <c r="L59" i="2"/>
  <c r="K51" i="2"/>
  <c r="L51" i="2"/>
  <c r="K43" i="2"/>
  <c r="L43" i="2"/>
  <c r="K32" i="2"/>
  <c r="L32" i="2"/>
  <c r="L24" i="2"/>
  <c r="K24" i="2"/>
  <c r="L16" i="2"/>
  <c r="K16" i="2"/>
  <c r="K8" i="2"/>
  <c r="L8" i="2"/>
  <c r="L183" i="2"/>
  <c r="K183" i="2"/>
  <c r="K135" i="2"/>
  <c r="L135" i="2"/>
  <c r="K79" i="2"/>
  <c r="L79" i="2"/>
  <c r="K36" i="2"/>
  <c r="L36" i="2"/>
  <c r="K174" i="2"/>
  <c r="L174" i="2"/>
  <c r="K118" i="2"/>
  <c r="L118" i="2"/>
  <c r="K62" i="2"/>
  <c r="L62" i="2"/>
  <c r="L19" i="2"/>
  <c r="K19" i="2"/>
  <c r="L165" i="2"/>
  <c r="K165" i="2"/>
  <c r="L133" i="2"/>
  <c r="K133" i="2"/>
  <c r="L4" i="2"/>
  <c r="K4" i="2"/>
  <c r="L178" i="2"/>
  <c r="K178" i="2"/>
  <c r="K162" i="2"/>
  <c r="L162" i="2"/>
  <c r="K146" i="2"/>
  <c r="L146" i="2"/>
  <c r="L138" i="2"/>
  <c r="K138" i="2"/>
  <c r="L130" i="2"/>
  <c r="K130" i="2"/>
  <c r="L122" i="2"/>
  <c r="K122" i="2"/>
  <c r="K114" i="2"/>
  <c r="L114" i="2"/>
  <c r="L106" i="2"/>
  <c r="K106" i="2"/>
  <c r="L98" i="2"/>
  <c r="K98" i="2"/>
  <c r="L90" i="2"/>
  <c r="K90" i="2"/>
  <c r="K82" i="2"/>
  <c r="L82" i="2"/>
  <c r="L74" i="2"/>
  <c r="K74" i="2"/>
  <c r="L66" i="2"/>
  <c r="K66" i="2"/>
  <c r="L58" i="2"/>
  <c r="K58" i="2"/>
  <c r="L50" i="2"/>
  <c r="K50" i="2"/>
  <c r="L39" i="2"/>
  <c r="K39" i="2"/>
  <c r="K31" i="2"/>
  <c r="L31" i="2"/>
  <c r="L23" i="2"/>
  <c r="K23" i="2"/>
  <c r="L15" i="2"/>
  <c r="K15" i="2"/>
  <c r="L7" i="2"/>
  <c r="K7" i="2"/>
  <c r="K167" i="2"/>
  <c r="L167" i="2"/>
  <c r="L111" i="2"/>
  <c r="K111" i="2"/>
  <c r="L28" i="2"/>
  <c r="K28" i="2"/>
  <c r="K150" i="2"/>
  <c r="L150" i="2"/>
  <c r="L94" i="2"/>
  <c r="K94" i="2"/>
  <c r="K46" i="2"/>
  <c r="L46" i="2"/>
  <c r="K173" i="2"/>
  <c r="L173" i="2"/>
  <c r="L93" i="2"/>
  <c r="K93" i="2"/>
  <c r="K186" i="2"/>
  <c r="L186" i="2"/>
  <c r="L170" i="2"/>
  <c r="K170" i="2"/>
  <c r="L154" i="2"/>
  <c r="K154" i="2"/>
  <c r="L185" i="2"/>
  <c r="K185" i="2"/>
  <c r="L177" i="2"/>
  <c r="K177" i="2"/>
  <c r="L169" i="2"/>
  <c r="K169" i="2"/>
  <c r="L161" i="2"/>
  <c r="K161" i="2"/>
  <c r="L153" i="2"/>
  <c r="K153" i="2"/>
  <c r="K145" i="2"/>
  <c r="L145" i="2"/>
  <c r="L137" i="2"/>
  <c r="K137" i="2"/>
  <c r="K129" i="2"/>
  <c r="L129" i="2"/>
  <c r="K121" i="2"/>
  <c r="L121" i="2"/>
  <c r="L113" i="2"/>
  <c r="K113" i="2"/>
  <c r="L105" i="2"/>
  <c r="K105" i="2"/>
  <c r="L97" i="2"/>
  <c r="K97" i="2"/>
  <c r="K89" i="2"/>
  <c r="L89" i="2"/>
  <c r="K81" i="2"/>
  <c r="L81" i="2"/>
  <c r="K73" i="2"/>
  <c r="L73" i="2"/>
  <c r="L65" i="2"/>
  <c r="K65" i="2"/>
  <c r="L57" i="2"/>
  <c r="K57" i="2"/>
  <c r="L49" i="2"/>
  <c r="K49" i="2"/>
  <c r="L38" i="2"/>
  <c r="K38" i="2"/>
  <c r="L30" i="2"/>
  <c r="K30" i="2"/>
  <c r="K22" i="2"/>
  <c r="L22" i="2"/>
  <c r="K14" i="2"/>
  <c r="L14" i="2"/>
  <c r="K6" i="2"/>
  <c r="L6" i="2"/>
  <c r="L151" i="2"/>
  <c r="K151" i="2"/>
  <c r="L87" i="2"/>
  <c r="K87" i="2"/>
  <c r="L20" i="2"/>
  <c r="K20" i="2"/>
  <c r="K182" i="2"/>
  <c r="L182" i="2"/>
  <c r="K126" i="2"/>
  <c r="L126" i="2"/>
  <c r="L86" i="2"/>
  <c r="K86" i="2"/>
  <c r="L27" i="2"/>
  <c r="K27" i="2"/>
  <c r="L149" i="2"/>
  <c r="K149" i="2"/>
  <c r="K117" i="2"/>
  <c r="L117" i="2"/>
  <c r="K184" i="2"/>
  <c r="L184" i="2"/>
  <c r="K176" i="2"/>
  <c r="L176" i="2"/>
  <c r="L168" i="2"/>
  <c r="K168" i="2"/>
  <c r="L160" i="2"/>
  <c r="K160" i="2"/>
  <c r="K152" i="2"/>
  <c r="L152" i="2"/>
  <c r="K144" i="2"/>
  <c r="L144" i="2"/>
  <c r="K136" i="2"/>
  <c r="L136" i="2"/>
  <c r="K128" i="2"/>
  <c r="L128" i="2"/>
  <c r="L120" i="2"/>
  <c r="K120" i="2"/>
  <c r="L112" i="2"/>
  <c r="K112" i="2"/>
  <c r="L104" i="2"/>
  <c r="K104" i="2"/>
  <c r="L96" i="2"/>
  <c r="K96" i="2"/>
  <c r="K88" i="2"/>
  <c r="L88" i="2"/>
  <c r="L80" i="2"/>
  <c r="K80" i="2"/>
  <c r="K72" i="2"/>
  <c r="L72" i="2"/>
  <c r="L64" i="2"/>
  <c r="K64" i="2"/>
  <c r="K56" i="2"/>
  <c r="L56" i="2"/>
  <c r="K48" i="2"/>
  <c r="L48" i="2"/>
  <c r="K37" i="2"/>
  <c r="L37" i="2"/>
  <c r="L29" i="2"/>
  <c r="K29" i="2"/>
  <c r="K21" i="2"/>
  <c r="L21" i="2"/>
  <c r="K13" i="2"/>
  <c r="L13" i="2"/>
  <c r="K5" i="2"/>
  <c r="L5" i="2"/>
  <c r="Q79" i="2" l="1"/>
  <c r="Q46" i="2"/>
  <c r="Q49" i="2"/>
  <c r="Q11" i="2"/>
  <c r="Q93" i="2"/>
  <c r="Q65" i="2"/>
  <c r="Q6" i="2"/>
  <c r="Q38" i="2"/>
  <c r="Q87" i="2"/>
  <c r="Q71" i="2"/>
  <c r="Q22" i="2"/>
  <c r="R21" i="2" s="1"/>
  <c r="A23" i="3" s="1"/>
  <c r="Q57" i="2"/>
  <c r="Q20" i="2"/>
  <c r="Q14" i="2"/>
  <c r="Q61" i="2"/>
  <c r="Q15" i="2"/>
  <c r="Q34" i="2"/>
  <c r="Q25" i="2"/>
  <c r="Q86" i="2"/>
  <c r="Q63" i="2"/>
  <c r="Q44" i="2"/>
  <c r="Q62" i="2"/>
  <c r="Q35" i="2"/>
  <c r="Q31" i="2"/>
  <c r="Q51" i="2"/>
  <c r="R50" i="2" s="1"/>
  <c r="A49" i="3" s="1"/>
  <c r="Q74" i="2"/>
  <c r="Q59" i="2"/>
  <c r="Q83" i="2"/>
  <c r="Q30" i="2"/>
  <c r="Q90" i="2"/>
  <c r="Q8" i="2"/>
  <c r="Q94" i="2"/>
  <c r="Q82" i="2"/>
  <c r="Q73" i="2"/>
  <c r="Q53" i="2"/>
  <c r="Q81" i="2"/>
  <c r="Q28" i="2"/>
  <c r="Q19" i="2"/>
  <c r="Q70" i="2"/>
  <c r="Q72" i="2"/>
  <c r="Q33" i="2"/>
  <c r="Q89" i="2"/>
  <c r="Q18" i="2"/>
  <c r="Q48" i="2"/>
  <c r="Q29" i="2"/>
  <c r="Q78" i="2"/>
  <c r="Q13" i="2"/>
  <c r="Q96" i="2"/>
  <c r="Q23" i="2"/>
  <c r="Q84" i="2"/>
  <c r="Q21" i="2"/>
  <c r="Q67" i="2"/>
  <c r="Q50" i="2"/>
  <c r="Q69" i="2"/>
  <c r="Q26" i="2"/>
  <c r="Q54" i="2"/>
  <c r="Q55" i="2"/>
  <c r="Q88" i="2"/>
  <c r="Q80" i="2"/>
  <c r="R79" i="2" s="1"/>
  <c r="A78" i="3" s="1"/>
  <c r="Q47" i="2"/>
  <c r="Q36" i="2"/>
  <c r="Q52" i="2"/>
  <c r="Q66" i="2"/>
  <c r="Q24" i="2"/>
  <c r="Q16" i="2"/>
  <c r="Q27" i="2"/>
  <c r="R26" i="2" s="1"/>
  <c r="A28" i="3" s="1"/>
  <c r="Q95" i="2"/>
  <c r="Q77" i="2"/>
  <c r="H36" i="4"/>
  <c r="H52" i="4" s="1"/>
  <c r="U167" i="2"/>
  <c r="U135" i="2"/>
  <c r="Q64" i="2"/>
  <c r="J129" i="2"/>
  <c r="J107" i="2"/>
  <c r="J154" i="2"/>
  <c r="J148" i="2"/>
  <c r="J29" i="2"/>
  <c r="J77" i="2"/>
  <c r="J168" i="2"/>
  <c r="J147" i="2"/>
  <c r="Q12" i="2"/>
  <c r="J158" i="2"/>
  <c r="J100" i="2"/>
  <c r="U160" i="2"/>
  <c r="J141" i="2"/>
  <c r="J19" i="2"/>
  <c r="J118" i="2"/>
  <c r="J7" i="2"/>
  <c r="J102" i="2"/>
  <c r="Q56" i="2"/>
  <c r="U104" i="2"/>
  <c r="J123" i="2"/>
  <c r="J78" i="2"/>
  <c r="J84" i="2"/>
  <c r="J133" i="2"/>
  <c r="J117" i="2"/>
  <c r="J186" i="2"/>
  <c r="U132" i="2"/>
  <c r="U185" i="2"/>
  <c r="J67" i="2"/>
  <c r="Q68" i="2"/>
  <c r="J38" i="2"/>
  <c r="J21" i="2"/>
  <c r="J16" i="2"/>
  <c r="J63" i="2"/>
  <c r="U149" i="2"/>
  <c r="Q17" i="2"/>
  <c r="J106" i="2"/>
  <c r="U131" i="2"/>
  <c r="J20" i="2"/>
  <c r="U129" i="2"/>
  <c r="U184" i="2"/>
  <c r="U110" i="2"/>
  <c r="U146" i="2"/>
  <c r="U147" i="2"/>
  <c r="U168" i="2"/>
  <c r="Q97" i="2"/>
  <c r="J86" i="2"/>
  <c r="J159" i="2"/>
  <c r="U130" i="2"/>
  <c r="Q60" i="2"/>
  <c r="J65" i="2"/>
  <c r="U98" i="2"/>
  <c r="J174" i="2"/>
  <c r="U116" i="2"/>
  <c r="J126" i="2"/>
  <c r="U125" i="2"/>
  <c r="U128" i="2"/>
  <c r="J74" i="2"/>
  <c r="J24" i="2"/>
  <c r="J152" i="2"/>
  <c r="U113" i="2"/>
  <c r="U127" i="2"/>
  <c r="Q7" i="2"/>
  <c r="U163" i="2"/>
  <c r="U181" i="2"/>
  <c r="J167" i="2"/>
  <c r="U143" i="2"/>
  <c r="U102" i="2"/>
  <c r="J39" i="2"/>
  <c r="J75" i="2"/>
  <c r="U148" i="2"/>
  <c r="J83" i="2"/>
  <c r="J92" i="2"/>
  <c r="J27" i="2"/>
  <c r="J30" i="2"/>
  <c r="J45" i="2"/>
  <c r="J48" i="2"/>
  <c r="J9" i="2"/>
  <c r="U124" i="2"/>
  <c r="U120" i="2"/>
  <c r="Q37" i="2"/>
  <c r="B17" i="2"/>
  <c r="J90" i="2"/>
  <c r="J108" i="2"/>
  <c r="J125" i="2"/>
  <c r="J142" i="2"/>
  <c r="J81" i="2"/>
  <c r="J5" i="2"/>
  <c r="J146" i="2"/>
  <c r="U141" i="2"/>
  <c r="U103" i="2"/>
  <c r="J111" i="2"/>
  <c r="J34" i="2"/>
  <c r="U162" i="2"/>
  <c r="J25" i="2"/>
  <c r="J149" i="2"/>
  <c r="Q43" i="2"/>
  <c r="U158" i="2"/>
  <c r="J119" i="2"/>
  <c r="U126" i="2"/>
  <c r="J50" i="2"/>
  <c r="J4" i="2"/>
  <c r="U137" i="2"/>
  <c r="J57" i="2"/>
  <c r="J164" i="2"/>
  <c r="U99" i="2"/>
  <c r="J14" i="2"/>
  <c r="J163" i="2"/>
  <c r="J28" i="2"/>
  <c r="U157" i="2"/>
  <c r="J136" i="2"/>
  <c r="J143" i="2"/>
  <c r="U114" i="2"/>
  <c r="U177" i="2"/>
  <c r="J18" i="2"/>
  <c r="J52" i="2"/>
  <c r="J103" i="2"/>
  <c r="J144" i="2"/>
  <c r="U123" i="2"/>
  <c r="U138" i="2"/>
  <c r="J130" i="2"/>
  <c r="J131" i="2"/>
  <c r="U140" i="2"/>
  <c r="Q45" i="2"/>
  <c r="U107" i="2"/>
  <c r="J35" i="2"/>
  <c r="J104" i="2"/>
  <c r="J31" i="2"/>
  <c r="U101" i="2"/>
  <c r="J66" i="2"/>
  <c r="J32" i="2"/>
  <c r="J23" i="2"/>
  <c r="J62" i="2"/>
  <c r="J101" i="2"/>
  <c r="J185" i="2"/>
  <c r="J69" i="2"/>
  <c r="J89" i="2"/>
  <c r="J178" i="2"/>
  <c r="J153" i="2"/>
  <c r="U111" i="2"/>
  <c r="J73" i="2"/>
  <c r="U154" i="2"/>
  <c r="J169" i="2"/>
  <c r="J105" i="2"/>
  <c r="J180" i="2"/>
  <c r="Q32" i="2"/>
  <c r="J161" i="2"/>
  <c r="J6" i="2"/>
  <c r="J172" i="2"/>
  <c r="Q76" i="2"/>
  <c r="U118" i="2"/>
  <c r="J140" i="2"/>
  <c r="U3" i="2"/>
  <c r="J68" i="2"/>
  <c r="J132" i="2"/>
  <c r="Q58" i="2"/>
  <c r="U172" i="2"/>
  <c r="J176" i="2"/>
  <c r="U174" i="2"/>
  <c r="J37" i="2"/>
  <c r="U166" i="2"/>
  <c r="U134" i="2"/>
  <c r="J121" i="2"/>
  <c r="J15" i="2"/>
  <c r="J156" i="2"/>
  <c r="J122" i="2"/>
  <c r="Q75" i="2"/>
  <c r="J61" i="2"/>
  <c r="J91" i="2"/>
  <c r="J26" i="2"/>
  <c r="J179" i="2"/>
  <c r="U182" i="2"/>
  <c r="J182" i="2"/>
  <c r="J79" i="2"/>
  <c r="J177" i="2"/>
  <c r="J44" i="2"/>
  <c r="J128" i="2"/>
  <c r="U106" i="2"/>
  <c r="U155" i="2"/>
  <c r="U156" i="2"/>
  <c r="J88" i="2"/>
  <c r="J72" i="2"/>
  <c r="U165" i="2"/>
  <c r="J70" i="2"/>
  <c r="J96" i="2"/>
  <c r="U115" i="2"/>
  <c r="J137" i="2"/>
  <c r="J22" i="2"/>
  <c r="U169" i="2"/>
  <c r="J49" i="2"/>
  <c r="Q9" i="2"/>
  <c r="U171" i="2"/>
  <c r="U186" i="2"/>
  <c r="J112" i="2"/>
  <c r="J160" i="2"/>
  <c r="J135" i="2"/>
  <c r="J115" i="2"/>
  <c r="U173" i="2"/>
  <c r="U142" i="2"/>
  <c r="J46" i="2"/>
  <c r="J8" i="2"/>
  <c r="J166" i="2"/>
  <c r="J127" i="2"/>
  <c r="Q39" i="2"/>
  <c r="Q91" i="2"/>
  <c r="J114" i="2"/>
  <c r="J58" i="2"/>
  <c r="U119" i="2"/>
  <c r="J145" i="2"/>
  <c r="J98" i="2"/>
  <c r="J53" i="2"/>
  <c r="Q85" i="2"/>
  <c r="R84" i="2" s="1"/>
  <c r="A83" i="3" s="1"/>
  <c r="J85" i="2"/>
  <c r="J187" i="2"/>
  <c r="U153" i="2"/>
  <c r="J87" i="2"/>
  <c r="J157" i="2"/>
  <c r="J54" i="2"/>
  <c r="U150" i="2"/>
  <c r="U151" i="2"/>
  <c r="J155" i="2"/>
  <c r="J93" i="2"/>
  <c r="U145" i="2"/>
  <c r="J165" i="2"/>
  <c r="J170" i="2"/>
  <c r="U105" i="2"/>
  <c r="J10" i="2"/>
  <c r="J109" i="2"/>
  <c r="J113" i="2"/>
  <c r="U108" i="2"/>
  <c r="J151" i="2"/>
  <c r="U121" i="2"/>
  <c r="Q5" i="2"/>
  <c r="Q4" i="2"/>
  <c r="U159" i="2"/>
  <c r="U133" i="2"/>
  <c r="J59" i="2"/>
  <c r="J56" i="2"/>
  <c r="U178" i="2"/>
  <c r="U152" i="2"/>
  <c r="J71" i="2"/>
  <c r="J13" i="2"/>
  <c r="J99" i="2"/>
  <c r="U136" i="2"/>
  <c r="U97" i="2"/>
  <c r="J64" i="2"/>
  <c r="J150" i="2"/>
  <c r="U170" i="2"/>
  <c r="U176" i="2"/>
  <c r="U179" i="2"/>
  <c r="U139" i="2"/>
  <c r="J60" i="2"/>
  <c r="Q10" i="2"/>
  <c r="B2" i="3"/>
  <c r="J43" i="2"/>
  <c r="J47" i="2"/>
  <c r="U183" i="2"/>
  <c r="J181" i="2"/>
  <c r="J97" i="2"/>
  <c r="U187" i="2"/>
  <c r="J80" i="2"/>
  <c r="J33" i="2"/>
  <c r="U122" i="2"/>
  <c r="U161" i="2"/>
  <c r="J110" i="2"/>
  <c r="J94" i="2"/>
  <c r="J76" i="2"/>
  <c r="J175" i="2"/>
  <c r="J11" i="2"/>
  <c r="J3" i="2"/>
  <c r="J173" i="2"/>
  <c r="Q92" i="2"/>
  <c r="U112" i="2"/>
  <c r="J183" i="2"/>
  <c r="J138" i="2"/>
  <c r="U117" i="2"/>
  <c r="J95" i="2"/>
  <c r="U144" i="2"/>
  <c r="J51" i="2"/>
  <c r="J12" i="2"/>
  <c r="J120" i="2"/>
  <c r="U100" i="2"/>
  <c r="U175" i="2"/>
  <c r="J171" i="2"/>
  <c r="J36" i="2"/>
  <c r="J184" i="2"/>
  <c r="J124" i="2"/>
  <c r="U109" i="2"/>
  <c r="U180" i="2"/>
  <c r="J162" i="2"/>
  <c r="J55" i="2"/>
  <c r="J139" i="2"/>
  <c r="J82" i="2"/>
  <c r="J116" i="2"/>
  <c r="U164" i="2"/>
  <c r="J134" i="2"/>
  <c r="J17" i="2"/>
  <c r="B18" i="2"/>
  <c r="A2" i="4"/>
  <c r="C82" i="4"/>
  <c r="C75" i="4"/>
  <c r="C180" i="4"/>
  <c r="C129" i="4"/>
  <c r="C77" i="4"/>
  <c r="C219" i="4"/>
  <c r="C169" i="4"/>
  <c r="C214" i="4"/>
  <c r="C164" i="4"/>
  <c r="C162" i="4"/>
  <c r="C111" i="4"/>
  <c r="C205" i="4"/>
  <c r="C155" i="4"/>
  <c r="C152" i="4"/>
  <c r="C198" i="4"/>
  <c r="C48" i="4"/>
  <c r="C83" i="4"/>
  <c r="C78" i="4"/>
  <c r="C170" i="4"/>
  <c r="C71" i="4"/>
  <c r="C68" i="4"/>
  <c r="C113" i="4"/>
  <c r="C159" i="4"/>
  <c r="C60" i="4"/>
  <c r="C105" i="4"/>
  <c r="C150" i="4"/>
  <c r="C47" i="4"/>
  <c r="C132" i="4"/>
  <c r="C178" i="4"/>
  <c r="C176" i="4"/>
  <c r="C40" i="4"/>
  <c r="C123" i="4"/>
  <c r="C168" i="4"/>
  <c r="C166" i="4"/>
  <c r="C67" i="4"/>
  <c r="C64" i="4"/>
  <c r="C109" i="4"/>
  <c r="C57" i="4"/>
  <c r="C151" i="4"/>
  <c r="C197" i="4"/>
  <c r="C148" i="4"/>
  <c r="C195" i="4"/>
  <c r="C194" i="4"/>
  <c r="C193" i="4"/>
  <c r="C145" i="4"/>
  <c r="C192" i="4"/>
  <c r="C190" i="4"/>
  <c r="C46" i="4"/>
  <c r="C86" i="4"/>
  <c r="C179" i="4"/>
  <c r="C79" i="4"/>
  <c r="C172" i="4"/>
  <c r="C73" i="4"/>
  <c r="C215" i="4"/>
  <c r="C213" i="4"/>
  <c r="C163" i="4"/>
  <c r="C209" i="4"/>
  <c r="C158" i="4"/>
  <c r="C204" i="4"/>
  <c r="C106" i="4"/>
  <c r="C54" i="4"/>
  <c r="C45" i="4"/>
  <c r="C84" i="4"/>
  <c r="C177" i="4"/>
  <c r="C126" i="4"/>
  <c r="C124" i="4"/>
  <c r="C122" i="4"/>
  <c r="C216" i="4"/>
  <c r="C118" i="4"/>
  <c r="C212" i="4"/>
  <c r="C66" i="4"/>
  <c r="C63" i="4"/>
  <c r="C108" i="4"/>
  <c r="C154" i="4"/>
  <c r="C56" i="4"/>
  <c r="C53" i="4"/>
  <c r="C196" i="4"/>
  <c r="C51" i="4"/>
  <c r="C98" i="4"/>
  <c r="C49" i="4"/>
  <c r="C96" i="4"/>
  <c r="C95" i="4"/>
  <c r="C142" i="4"/>
  <c r="C189" i="4"/>
  <c r="C93" i="4"/>
  <c r="C188" i="4"/>
  <c r="C140" i="4"/>
  <c r="C92" i="4"/>
  <c r="C44" i="4"/>
  <c r="C133" i="4"/>
  <c r="C81" i="4"/>
  <c r="C174" i="4"/>
  <c r="C74" i="4"/>
  <c r="C70" i="4"/>
  <c r="C115" i="4"/>
  <c r="C112" i="4"/>
  <c r="C206" i="4"/>
  <c r="C156" i="4"/>
  <c r="C202" i="4"/>
  <c r="C200" i="4"/>
  <c r="C199" i="4"/>
  <c r="C149" i="4"/>
  <c r="C52" i="4"/>
  <c r="C147" i="4"/>
  <c r="C146" i="4"/>
  <c r="C97" i="4"/>
  <c r="C144" i="4"/>
  <c r="C191" i="4"/>
  <c r="C143" i="4"/>
  <c r="C94" i="4"/>
  <c r="C141" i="4"/>
  <c r="C187" i="4"/>
  <c r="C139" i="4"/>
  <c r="C91" i="4"/>
  <c r="C43" i="4"/>
  <c r="C181" i="4"/>
  <c r="C128" i="4"/>
  <c r="C76" i="4"/>
  <c r="C121" i="4"/>
  <c r="C119" i="4"/>
  <c r="C117" i="4"/>
  <c r="C114" i="4"/>
  <c r="C208" i="4"/>
  <c r="C110" i="4"/>
  <c r="C59" i="4"/>
  <c r="C104" i="4"/>
  <c r="C186" i="4"/>
  <c r="C42" i="4"/>
  <c r="C182" i="4"/>
  <c r="C131" i="4"/>
  <c r="C127" i="4"/>
  <c r="C220" i="4"/>
  <c r="C72" i="4"/>
  <c r="C165" i="4"/>
  <c r="C211" i="4"/>
  <c r="C161" i="4"/>
  <c r="C62" i="4"/>
  <c r="C107" i="4"/>
  <c r="C153" i="4"/>
  <c r="C102" i="4"/>
  <c r="C41" i="4"/>
  <c r="C85" i="4"/>
  <c r="C80" i="4"/>
  <c r="C125" i="4"/>
  <c r="C218" i="4"/>
  <c r="C217" i="4"/>
  <c r="C167" i="4"/>
  <c r="C116" i="4"/>
  <c r="C210" i="4"/>
  <c r="C160" i="4"/>
  <c r="C61" i="4"/>
  <c r="C58" i="4"/>
  <c r="C55" i="4"/>
  <c r="C88" i="4"/>
  <c r="C134" i="4"/>
  <c r="C130" i="4"/>
  <c r="C175" i="4"/>
  <c r="C173" i="4"/>
  <c r="C171" i="4"/>
  <c r="C120" i="4"/>
  <c r="C69" i="4"/>
  <c r="C65" i="4"/>
  <c r="C207" i="4"/>
  <c r="C157" i="4"/>
  <c r="C203" i="4"/>
  <c r="C201" i="4"/>
  <c r="C103" i="4"/>
  <c r="C101" i="4"/>
  <c r="C100" i="4"/>
  <c r="C99" i="4"/>
  <c r="C50" i="4"/>
  <c r="C138" i="4"/>
  <c r="C90" i="4"/>
  <c r="C185" i="4"/>
  <c r="C137" i="4"/>
  <c r="C89" i="4"/>
  <c r="C184" i="4"/>
  <c r="C136" i="4"/>
  <c r="C183" i="4"/>
  <c r="C135" i="4"/>
  <c r="C87" i="4"/>
  <c r="C2" i="3"/>
  <c r="D2" i="3" l="1"/>
  <c r="R23" i="2"/>
  <c r="A25" i="3" s="1"/>
  <c r="R34" i="2"/>
  <c r="A36" i="3" s="1"/>
  <c r="R65" i="2"/>
  <c r="A64" i="3" s="1"/>
  <c r="R36" i="2"/>
  <c r="A38" i="3" s="1"/>
  <c r="R28" i="2"/>
  <c r="A30" i="3" s="1"/>
  <c r="R67" i="2"/>
  <c r="A66" i="3" s="1"/>
  <c r="H118" i="4"/>
  <c r="R89" i="2"/>
  <c r="A88" i="3" s="1"/>
  <c r="H218" i="4"/>
  <c r="R72" i="2"/>
  <c r="A71" i="3" s="1"/>
  <c r="H177" i="4"/>
  <c r="R13" i="2"/>
  <c r="A15" i="3" s="1"/>
  <c r="R19" i="2"/>
  <c r="A21" i="3" s="1"/>
  <c r="H205" i="4"/>
  <c r="R70" i="2"/>
  <c r="A69" i="3" s="1"/>
  <c r="R75" i="2"/>
  <c r="A74" i="3" s="1"/>
  <c r="R53" i="2"/>
  <c r="A52" i="3" s="1"/>
  <c r="R38" i="2"/>
  <c r="A40" i="3" s="1"/>
  <c r="R33" i="2"/>
  <c r="A35" i="3" s="1"/>
  <c r="R7" i="2"/>
  <c r="A9" i="3" s="1"/>
  <c r="H56" i="4"/>
  <c r="H101" i="4"/>
  <c r="H84" i="4"/>
  <c r="H80" i="4"/>
  <c r="R95" i="2"/>
  <c r="A94" i="3" s="1"/>
  <c r="R48" i="2"/>
  <c r="A47" i="3" s="1"/>
  <c r="R76" i="2"/>
  <c r="A75" i="3" s="1"/>
  <c r="H116" i="4"/>
  <c r="H214" i="4"/>
  <c r="R87" i="2"/>
  <c r="A86" i="3" s="1"/>
  <c r="H153" i="4"/>
  <c r="H187" i="4"/>
  <c r="R29" i="2"/>
  <c r="A31" i="3" s="1"/>
  <c r="H73" i="4"/>
  <c r="H76" i="4"/>
  <c r="R58" i="2"/>
  <c r="A57" i="3" s="1"/>
  <c r="R14" i="2"/>
  <c r="A16" i="3" s="1"/>
  <c r="R49" i="2"/>
  <c r="A48" i="3" s="1"/>
  <c r="R61" i="2"/>
  <c r="A60" i="3" s="1"/>
  <c r="R16" i="2"/>
  <c r="A18" i="3" s="1"/>
  <c r="R55" i="2"/>
  <c r="A54" i="3" s="1"/>
  <c r="R9" i="2"/>
  <c r="A11" i="3" s="1"/>
  <c r="R57" i="2"/>
  <c r="A56" i="3" s="1"/>
  <c r="R11" i="2"/>
  <c r="A13" i="3" s="1"/>
  <c r="R63" i="2"/>
  <c r="A62" i="3" s="1"/>
  <c r="R4" i="2"/>
  <c r="A6" i="3" s="1"/>
  <c r="H39" i="4"/>
  <c r="H78" i="4"/>
  <c r="R31" i="2"/>
  <c r="A33" i="3" s="1"/>
  <c r="R43" i="2"/>
  <c r="A42" i="3" s="1"/>
  <c r="R73" i="2"/>
  <c r="A72" i="3" s="1"/>
  <c r="R64" i="2"/>
  <c r="A63" i="3" s="1"/>
  <c r="R93" i="2"/>
  <c r="A92" i="3" s="1"/>
  <c r="H41" i="4"/>
  <c r="H217" i="4"/>
  <c r="H79" i="4"/>
  <c r="H65" i="4"/>
  <c r="H192" i="4"/>
  <c r="R96" i="2"/>
  <c r="A95" i="3" s="1"/>
  <c r="H93" i="4"/>
  <c r="R12" i="2"/>
  <c r="A14" i="3" s="1"/>
  <c r="H144" i="4"/>
  <c r="H146" i="4"/>
  <c r="H43" i="4"/>
  <c r="H174" i="4"/>
  <c r="H201" i="4"/>
  <c r="H215" i="4"/>
  <c r="H220" i="4"/>
  <c r="R47" i="2"/>
  <c r="A46" i="3" s="1"/>
  <c r="H83" i="4"/>
  <c r="H211" i="4"/>
  <c r="R56" i="2"/>
  <c r="A55" i="3" s="1"/>
  <c r="H137" i="4"/>
  <c r="H203" i="4"/>
  <c r="R44" i="2"/>
  <c r="A43" i="3" s="1"/>
  <c r="H161" i="4"/>
  <c r="H145" i="4"/>
  <c r="B144" i="4" s="1"/>
  <c r="E144" i="4" s="1"/>
  <c r="H115" i="4"/>
  <c r="H88" i="4"/>
  <c r="H172" i="4"/>
  <c r="R15" i="2"/>
  <c r="A17" i="3" s="1"/>
  <c r="R60" i="2"/>
  <c r="A59" i="3" s="1"/>
  <c r="H131" i="4"/>
  <c r="H119" i="4"/>
  <c r="B119" i="4" s="1"/>
  <c r="D119" i="4" s="1"/>
  <c r="H66" i="4"/>
  <c r="H82" i="4"/>
  <c r="H204" i="4"/>
  <c r="H75" i="4"/>
  <c r="H55" i="4"/>
  <c r="B56" i="4" s="1"/>
  <c r="H95" i="4"/>
  <c r="H122" i="4"/>
  <c r="R66" i="2"/>
  <c r="A65" i="3" s="1"/>
  <c r="R90" i="2"/>
  <c r="A89" i="3" s="1"/>
  <c r="R20" i="2"/>
  <c r="A22" i="3" s="1"/>
  <c r="R86" i="2"/>
  <c r="A85" i="3" s="1"/>
  <c r="R35" i="2"/>
  <c r="A37" i="3" s="1"/>
  <c r="R83" i="2"/>
  <c r="A82" i="3" s="1"/>
  <c r="R37" i="2"/>
  <c r="A39" i="3" s="1"/>
  <c r="R6" i="2"/>
  <c r="A8" i="3" s="1"/>
  <c r="R68" i="2"/>
  <c r="A67" i="3" s="1"/>
  <c r="R77" i="2"/>
  <c r="A76" i="3" s="1"/>
  <c r="R10" i="2"/>
  <c r="A12" i="3" s="1"/>
  <c r="R25" i="2"/>
  <c r="A27" i="3" s="1"/>
  <c r="R39" i="2"/>
  <c r="A41" i="3" s="1"/>
  <c r="R46" i="2"/>
  <c r="A45" i="3" s="1"/>
  <c r="R59" i="2"/>
  <c r="A58" i="3" s="1"/>
  <c r="R78" i="2"/>
  <c r="A77" i="3" s="1"/>
  <c r="R85" i="2"/>
  <c r="A84" i="3" s="1"/>
  <c r="R17" i="2"/>
  <c r="A19" i="3" s="1"/>
  <c r="R88" i="2"/>
  <c r="A87" i="3" s="1"/>
  <c r="R32" i="2"/>
  <c r="A34" i="3" s="1"/>
  <c r="R91" i="2"/>
  <c r="A90" i="3" s="1"/>
  <c r="R71" i="2"/>
  <c r="A70" i="3" s="1"/>
  <c r="H77" i="4"/>
  <c r="R69" i="2"/>
  <c r="A68" i="3" s="1"/>
  <c r="H189" i="4"/>
  <c r="B189" i="4" s="1"/>
  <c r="R18" i="2"/>
  <c r="A20" i="3" s="1"/>
  <c r="R24" i="2"/>
  <c r="A26" i="3" s="1"/>
  <c r="H113" i="4"/>
  <c r="R27" i="2"/>
  <c r="A29" i="3" s="1"/>
  <c r="R80" i="2"/>
  <c r="A79" i="3" s="1"/>
  <c r="R8" i="2"/>
  <c r="A10" i="3" s="1"/>
  <c r="H51" i="4"/>
  <c r="R52" i="2"/>
  <c r="A51" i="3" s="1"/>
  <c r="R62" i="2"/>
  <c r="A61" i="3" s="1"/>
  <c r="R22" i="2"/>
  <c r="A24" i="3" s="1"/>
  <c r="H45" i="4"/>
  <c r="R82" i="2"/>
  <c r="A81" i="3" s="1"/>
  <c r="R51" i="2"/>
  <c r="A50" i="3" s="1"/>
  <c r="H200" i="4"/>
  <c r="H207" i="4"/>
  <c r="H105" i="4"/>
  <c r="H210" i="4"/>
  <c r="H162" i="4"/>
  <c r="R54" i="2"/>
  <c r="A53" i="3" s="1"/>
  <c r="R30" i="2"/>
  <c r="A32" i="3" s="1"/>
  <c r="H107" i="4"/>
  <c r="H50" i="4"/>
  <c r="H176" i="4"/>
  <c r="B176" i="4" s="1"/>
  <c r="H62" i="4"/>
  <c r="H149" i="4"/>
  <c r="R5" i="2"/>
  <c r="A7" i="3" s="1"/>
  <c r="H147" i="4"/>
  <c r="H68" i="4"/>
  <c r="R92" i="2"/>
  <c r="A91" i="3" s="1"/>
  <c r="H114" i="4"/>
  <c r="H99" i="4"/>
  <c r="H97" i="4"/>
  <c r="H67" i="4"/>
  <c r="H180" i="4"/>
  <c r="H86" i="4"/>
  <c r="R94" i="2"/>
  <c r="A93" i="3" s="1"/>
  <c r="H190" i="4"/>
  <c r="H129" i="4"/>
  <c r="H213" i="4"/>
  <c r="H126" i="4"/>
  <c r="H72" i="4"/>
  <c r="H125" i="4"/>
  <c r="R74" i="2"/>
  <c r="A73" i="3" s="1"/>
  <c r="U92" i="2"/>
  <c r="H98" i="4"/>
  <c r="H185" i="4"/>
  <c r="R45" i="2"/>
  <c r="A44" i="3" s="1"/>
  <c r="H71" i="4"/>
  <c r="H61" i="4"/>
  <c r="H142" i="4"/>
  <c r="H69" i="4"/>
  <c r="H47" i="4"/>
  <c r="B47" i="4" s="1"/>
  <c r="H196" i="4"/>
  <c r="H182" i="4"/>
  <c r="H179" i="4"/>
  <c r="H170" i="4"/>
  <c r="H102" i="4"/>
  <c r="H64" i="4"/>
  <c r="H123" i="4"/>
  <c r="H120" i="4"/>
  <c r="H112" i="4"/>
  <c r="H44" i="4"/>
  <c r="H208" i="4"/>
  <c r="H156" i="4"/>
  <c r="H152" i="4"/>
  <c r="B152" i="4" s="1"/>
  <c r="H164" i="4"/>
  <c r="H178" i="4"/>
  <c r="B177" i="4" s="1"/>
  <c r="H54" i="4"/>
  <c r="R81" i="2"/>
  <c r="A80" i="3" s="1"/>
  <c r="H173" i="4"/>
  <c r="H202" i="4"/>
  <c r="H40" i="4"/>
  <c r="H206" i="4"/>
  <c r="H128" i="4"/>
  <c r="H148" i="4"/>
  <c r="H70" i="4"/>
  <c r="H127" i="4"/>
  <c r="H181" i="4"/>
  <c r="H103" i="4"/>
  <c r="H100" i="4"/>
  <c r="H85" i="4"/>
  <c r="H171" i="4"/>
  <c r="H132" i="4"/>
  <c r="H154" i="4"/>
  <c r="H140" i="4"/>
  <c r="H197" i="4"/>
  <c r="H221" i="4"/>
  <c r="H184" i="4"/>
  <c r="H219" i="4"/>
  <c r="H138" i="4"/>
  <c r="H48" i="4"/>
  <c r="H57" i="4"/>
  <c r="H168" i="4"/>
  <c r="H150" i="4"/>
  <c r="H166" i="4"/>
  <c r="H199" i="4"/>
  <c r="H124" i="4"/>
  <c r="H58" i="4"/>
  <c r="H188" i="4"/>
  <c r="H139" i="4"/>
  <c r="H130" i="4"/>
  <c r="H169" i="4"/>
  <c r="H94" i="4"/>
  <c r="H117" i="4"/>
  <c r="H193" i="4"/>
  <c r="H104" i="4"/>
  <c r="H87" i="4"/>
  <c r="H158" i="4"/>
  <c r="H135" i="4"/>
  <c r="H89" i="4"/>
  <c r="H59" i="4"/>
  <c r="H109" i="4"/>
  <c r="H90" i="4"/>
  <c r="H151" i="4"/>
  <c r="H74" i="4"/>
  <c r="H209" i="4"/>
  <c r="H49" i="4"/>
  <c r="H198" i="4"/>
  <c r="H155" i="4"/>
  <c r="H108" i="4"/>
  <c r="H167" i="4"/>
  <c r="H111" i="4"/>
  <c r="H143" i="4"/>
  <c r="H106" i="4"/>
  <c r="H141" i="4"/>
  <c r="H42" i="4"/>
  <c r="H183" i="4"/>
  <c r="H133" i="4"/>
  <c r="H159" i="4"/>
  <c r="H165" i="4"/>
  <c r="H63" i="4"/>
  <c r="H157" i="4"/>
  <c r="H194" i="4"/>
  <c r="H195" i="4"/>
  <c r="H216" i="4"/>
  <c r="H212" i="4"/>
  <c r="H110" i="4"/>
  <c r="H91" i="4"/>
  <c r="H186" i="4"/>
  <c r="H96" i="4"/>
  <c r="H134" i="4"/>
  <c r="H163" i="4"/>
  <c r="H121" i="4"/>
  <c r="U91" i="2"/>
  <c r="H136" i="4"/>
  <c r="H46" i="4"/>
  <c r="H81" i="4"/>
  <c r="H175" i="4"/>
  <c r="H191" i="4"/>
  <c r="B191" i="4" s="1"/>
  <c r="H60" i="4"/>
  <c r="H160" i="4"/>
  <c r="H92" i="4"/>
  <c r="H53" i="4"/>
  <c r="B53" i="4" s="1"/>
  <c r="B76" i="4" l="1"/>
  <c r="D76" i="4" s="1"/>
  <c r="B205" i="4"/>
  <c r="B204" i="4"/>
  <c r="D204" i="4" s="1"/>
  <c r="B148" i="4"/>
  <c r="D148" i="4" s="1"/>
  <c r="B185" i="4"/>
  <c r="B105" i="4"/>
  <c r="E105" i="4" s="1"/>
  <c r="B102" i="4"/>
  <c r="B108" i="4"/>
  <c r="D108" i="4" s="1"/>
  <c r="B85" i="4"/>
  <c r="B117" i="4"/>
  <c r="E117" i="4" s="1"/>
  <c r="B58" i="4"/>
  <c r="E58" i="4" s="1"/>
  <c r="B116" i="4"/>
  <c r="E116" i="4" s="1"/>
  <c r="B100" i="4"/>
  <c r="E100" i="4" s="1"/>
  <c r="B180" i="4"/>
  <c r="B84" i="4"/>
  <c r="D84" i="4" s="1"/>
  <c r="B81" i="4"/>
  <c r="E81" i="4" s="1"/>
  <c r="B80" i="4"/>
  <c r="D80" i="4" s="1"/>
  <c r="B63" i="4"/>
  <c r="D63" i="4" s="1"/>
  <c r="B132" i="4"/>
  <c r="E132" i="4" s="1"/>
  <c r="B86" i="4"/>
  <c r="E86" i="4" s="1"/>
  <c r="B217" i="4"/>
  <c r="E217" i="4" s="1"/>
  <c r="B51" i="4"/>
  <c r="D51" i="4" s="1"/>
  <c r="B77" i="4"/>
  <c r="D77" i="4" s="1"/>
  <c r="B57" i="4"/>
  <c r="D57" i="4" s="1"/>
  <c r="B186" i="4"/>
  <c r="D186" i="4" s="1"/>
  <c r="B214" i="4"/>
  <c r="D214" i="4" s="1"/>
  <c r="B216" i="4"/>
  <c r="B213" i="4"/>
  <c r="E213" i="4" s="1"/>
  <c r="B197" i="4"/>
  <c r="D197" i="4" s="1"/>
  <c r="B129" i="4"/>
  <c r="E129" i="4" s="1"/>
  <c r="B140" i="4"/>
  <c r="E140" i="4" s="1"/>
  <c r="B154" i="4"/>
  <c r="D154" i="4" s="1"/>
  <c r="B66" i="4"/>
  <c r="B200" i="4"/>
  <c r="D200" i="4" s="1"/>
  <c r="B83" i="4"/>
  <c r="D83" i="4" s="1"/>
  <c r="B52" i="4"/>
  <c r="D52" i="4" s="1"/>
  <c r="B172" i="4"/>
  <c r="E172" i="4" s="1"/>
  <c r="B79" i="4"/>
  <c r="E79" i="4" s="1"/>
  <c r="B93" i="4"/>
  <c r="E93" i="4" s="1"/>
  <c r="B40" i="4"/>
  <c r="E40" i="4" s="1"/>
  <c r="B171" i="4"/>
  <c r="E171" i="4" s="1"/>
  <c r="B173" i="4"/>
  <c r="D173" i="4" s="1"/>
  <c r="B220" i="4"/>
  <c r="E220" i="4" s="1"/>
  <c r="B90" i="4"/>
  <c r="E90" i="4" s="1"/>
  <c r="B143" i="4"/>
  <c r="E143" i="4" s="1"/>
  <c r="E66" i="4"/>
  <c r="D66" i="4"/>
  <c r="E80" i="4"/>
  <c r="E56" i="4"/>
  <c r="D56" i="4"/>
  <c r="B67" i="4"/>
  <c r="D67" i="4" s="1"/>
  <c r="B182" i="4"/>
  <c r="D182" i="4" s="1"/>
  <c r="B69" i="4"/>
  <c r="E69" i="4" s="1"/>
  <c r="B161" i="4"/>
  <c r="D161" i="4" s="1"/>
  <c r="B203" i="4"/>
  <c r="B123" i="4"/>
  <c r="D123" i="4" s="1"/>
  <c r="B130" i="4"/>
  <c r="D130" i="4" s="1"/>
  <c r="B145" i="4"/>
  <c r="E145" i="4" s="1"/>
  <c r="B101" i="4"/>
  <c r="D101" i="4" s="1"/>
  <c r="B139" i="4"/>
  <c r="E139" i="4" s="1"/>
  <c r="B142" i="4"/>
  <c r="D142" i="4" s="1"/>
  <c r="B166" i="4"/>
  <c r="E166" i="4" s="1"/>
  <c r="B71" i="4"/>
  <c r="E71" i="4" s="1"/>
  <c r="B55" i="4"/>
  <c r="E55" i="4" s="1"/>
  <c r="B113" i="4"/>
  <c r="D113" i="4" s="1"/>
  <c r="B89" i="4"/>
  <c r="D89" i="4" s="1"/>
  <c r="B94" i="4"/>
  <c r="D94" i="4" s="1"/>
  <c r="B175" i="4"/>
  <c r="E175" i="4" s="1"/>
  <c r="B160" i="4"/>
  <c r="D160" i="4" s="1"/>
  <c r="B188" i="4"/>
  <c r="D188" i="4" s="1"/>
  <c r="B136" i="4"/>
  <c r="E136" i="4" s="1"/>
  <c r="B150" i="4"/>
  <c r="E150" i="4" s="1"/>
  <c r="E204" i="4"/>
  <c r="B98" i="4"/>
  <c r="E98" i="4" s="1"/>
  <c r="B196" i="4"/>
  <c r="E196" i="4" s="1"/>
  <c r="B96" i="4"/>
  <c r="E96" i="4" s="1"/>
  <c r="B210" i="4"/>
  <c r="D210" i="4" s="1"/>
  <c r="B120" i="4"/>
  <c r="E120" i="4" s="1"/>
  <c r="E119" i="4"/>
  <c r="B219" i="4"/>
  <c r="E219" i="4" s="1"/>
  <c r="E76" i="4"/>
  <c r="B121" i="4"/>
  <c r="E121" i="4" s="1"/>
  <c r="B134" i="4"/>
  <c r="D134" i="4" s="1"/>
  <c r="B78" i="4"/>
  <c r="B163" i="4"/>
  <c r="D163" i="4" s="1"/>
  <c r="B91" i="4"/>
  <c r="D91" i="4" s="1"/>
  <c r="E77" i="4"/>
  <c r="B110" i="4"/>
  <c r="E110" i="4" s="1"/>
  <c r="B159" i="4"/>
  <c r="D159" i="4" s="1"/>
  <c r="B103" i="4"/>
  <c r="D103" i="4" s="1"/>
  <c r="E52" i="4"/>
  <c r="B124" i="4"/>
  <c r="E124" i="4" s="1"/>
  <c r="B118" i="4"/>
  <c r="E118" i="4" s="1"/>
  <c r="B95" i="4"/>
  <c r="E95" i="4" s="1"/>
  <c r="B46" i="4"/>
  <c r="D46" i="4" s="1"/>
  <c r="B206" i="4"/>
  <c r="D206" i="4" s="1"/>
  <c r="B61" i="4"/>
  <c r="E61" i="4" s="1"/>
  <c r="B157" i="4"/>
  <c r="E157" i="4" s="1"/>
  <c r="B155" i="4"/>
  <c r="E155" i="4" s="1"/>
  <c r="B168" i="4"/>
  <c r="D168" i="4" s="1"/>
  <c r="D144" i="4"/>
  <c r="B199" i="4"/>
  <c r="E199" i="4" s="1"/>
  <c r="B106" i="4"/>
  <c r="D106" i="4" s="1"/>
  <c r="B209" i="4"/>
  <c r="D209" i="4" s="1"/>
  <c r="B54" i="4"/>
  <c r="E54" i="4" s="1"/>
  <c r="B151" i="4"/>
  <c r="D151" i="4" s="1"/>
  <c r="B178" i="4"/>
  <c r="D178" i="4" s="1"/>
  <c r="D177" i="4"/>
  <c r="E177" i="4"/>
  <c r="E47" i="4"/>
  <c r="D47" i="4"/>
  <c r="B212" i="4"/>
  <c r="B211" i="4"/>
  <c r="B153" i="4"/>
  <c r="B48" i="4"/>
  <c r="B184" i="4"/>
  <c r="D180" i="4"/>
  <c r="E180" i="4"/>
  <c r="B99" i="4"/>
  <c r="B107" i="4"/>
  <c r="E152" i="4"/>
  <c r="D152" i="4"/>
  <c r="B125" i="4"/>
  <c r="D185" i="4"/>
  <c r="E185" i="4"/>
  <c r="B138" i="4"/>
  <c r="D216" i="4"/>
  <c r="E216" i="4"/>
  <c r="B190" i="4"/>
  <c r="B165" i="4"/>
  <c r="B42" i="4"/>
  <c r="B43" i="4"/>
  <c r="B122" i="4"/>
  <c r="B62" i="4"/>
  <c r="B75" i="4"/>
  <c r="B74" i="4"/>
  <c r="B162" i="4"/>
  <c r="B82" i="4"/>
  <c r="B126" i="4"/>
  <c r="B133" i="4"/>
  <c r="B128" i="4"/>
  <c r="B164" i="4"/>
  <c r="B181" i="4"/>
  <c r="B147" i="4"/>
  <c r="B149" i="4"/>
  <c r="B198" i="4"/>
  <c r="B50" i="4"/>
  <c r="B59" i="4"/>
  <c r="B72" i="4"/>
  <c r="B73" i="4"/>
  <c r="B194" i="4"/>
  <c r="B127" i="4"/>
  <c r="B68" i="4"/>
  <c r="B137" i="4"/>
  <c r="D176" i="4"/>
  <c r="E176" i="4"/>
  <c r="B208" i="4"/>
  <c r="B112" i="4"/>
  <c r="B87" i="4"/>
  <c r="B88" i="4"/>
  <c r="B215" i="4"/>
  <c r="D53" i="4"/>
  <c r="E53" i="4"/>
  <c r="B192" i="4"/>
  <c r="B193" i="4"/>
  <c r="B64" i="4"/>
  <c r="B65" i="4"/>
  <c r="B131" i="4"/>
  <c r="B183" i="4"/>
  <c r="E191" i="4"/>
  <c r="D191" i="4"/>
  <c r="D189" i="4"/>
  <c r="E189" i="4"/>
  <c r="B195" i="4"/>
  <c r="E63" i="4"/>
  <c r="E85" i="4"/>
  <c r="D85" i="4"/>
  <c r="B114" i="4"/>
  <c r="B115" i="4"/>
  <c r="B70" i="4"/>
  <c r="B202" i="4"/>
  <c r="B201" i="4"/>
  <c r="B49" i="4"/>
  <c r="B156" i="4"/>
  <c r="B135" i="4"/>
  <c r="B158" i="4"/>
  <c r="B170" i="4"/>
  <c r="B187" i="4"/>
  <c r="B174" i="4"/>
  <c r="B97" i="4"/>
  <c r="B141" i="4"/>
  <c r="D205" i="4"/>
  <c r="E205" i="4"/>
  <c r="B111" i="4"/>
  <c r="B167" i="4"/>
  <c r="B109" i="4"/>
  <c r="B44" i="4"/>
  <c r="B45" i="4"/>
  <c r="B207" i="4"/>
  <c r="B146" i="4"/>
  <c r="B104" i="4"/>
  <c r="B218" i="4"/>
  <c r="B92" i="4"/>
  <c r="D117" i="4"/>
  <c r="E102" i="4"/>
  <c r="D102" i="4"/>
  <c r="B41" i="4"/>
  <c r="B60" i="4"/>
  <c r="B169" i="4"/>
  <c r="B179" i="4"/>
  <c r="E200" i="4" l="1"/>
  <c r="D86" i="4"/>
  <c r="D100" i="4"/>
  <c r="E148" i="4"/>
  <c r="D105" i="4"/>
  <c r="D140" i="4"/>
  <c r="E214" i="4"/>
  <c r="D116" i="4"/>
  <c r="D217" i="4"/>
  <c r="E84" i="4"/>
  <c r="E108" i="4"/>
  <c r="D58" i="4"/>
  <c r="D171" i="4"/>
  <c r="E186" i="4"/>
  <c r="D132" i="4"/>
  <c r="D81" i="4"/>
  <c r="D213" i="4"/>
  <c r="E154" i="4"/>
  <c r="E57" i="4"/>
  <c r="E197" i="4"/>
  <c r="D79" i="4"/>
  <c r="E67" i="4"/>
  <c r="D110" i="4"/>
  <c r="D172" i="4"/>
  <c r="E51" i="4"/>
  <c r="E123" i="4"/>
  <c r="E103" i="4"/>
  <c r="E83" i="4"/>
  <c r="D129" i="4"/>
  <c r="D124" i="4"/>
  <c r="E182" i="4"/>
  <c r="D93" i="4"/>
  <c r="E101" i="4"/>
  <c r="E173" i="4"/>
  <c r="D69" i="4"/>
  <c r="D118" i="4"/>
  <c r="E113" i="4"/>
  <c r="D61" i="4"/>
  <c r="D220" i="4"/>
  <c r="D40" i="4"/>
  <c r="D199" i="4"/>
  <c r="D90" i="4"/>
  <c r="D143" i="4"/>
  <c r="E142" i="4"/>
  <c r="D196" i="4"/>
  <c r="D139" i="4"/>
  <c r="E89" i="4"/>
  <c r="D120" i="4"/>
  <c r="D145" i="4"/>
  <c r="D71" i="4"/>
  <c r="D121" i="4"/>
  <c r="E188" i="4"/>
  <c r="E94" i="4"/>
  <c r="D150" i="4"/>
  <c r="E160" i="4"/>
  <c r="E134" i="4"/>
  <c r="E130" i="4"/>
  <c r="D219" i="4"/>
  <c r="D166" i="4"/>
  <c r="E163" i="4"/>
  <c r="D98" i="4"/>
  <c r="E203" i="4"/>
  <c r="D203" i="4"/>
  <c r="E161" i="4"/>
  <c r="D55" i="4"/>
  <c r="E91" i="4"/>
  <c r="D136" i="4"/>
  <c r="D175" i="4"/>
  <c r="E210" i="4"/>
  <c r="E151" i="4"/>
  <c r="E209" i="4"/>
  <c r="E168" i="4"/>
  <c r="D96" i="4"/>
  <c r="E46" i="4"/>
  <c r="E206" i="4"/>
  <c r="E178" i="4"/>
  <c r="E106" i="4"/>
  <c r="D54" i="4"/>
  <c r="D78" i="4"/>
  <c r="E78" i="4"/>
  <c r="D95" i="4"/>
  <c r="D155" i="4"/>
  <c r="E159" i="4"/>
  <c r="D157" i="4"/>
  <c r="D104" i="4"/>
  <c r="E104" i="4"/>
  <c r="E146" i="4"/>
  <c r="D146" i="4"/>
  <c r="E74" i="4"/>
  <c r="D74" i="4"/>
  <c r="D68" i="4"/>
  <c r="E68" i="4"/>
  <c r="E114" i="4"/>
  <c r="D114" i="4"/>
  <c r="E195" i="4"/>
  <c r="D195" i="4"/>
  <c r="E167" i="4"/>
  <c r="D167" i="4"/>
  <c r="E147" i="4"/>
  <c r="D147" i="4"/>
  <c r="E165" i="4"/>
  <c r="D165" i="4"/>
  <c r="E131" i="4"/>
  <c r="D131" i="4"/>
  <c r="D128" i="4"/>
  <c r="E128" i="4"/>
  <c r="D207" i="4"/>
  <c r="E207" i="4"/>
  <c r="E107" i="4"/>
  <c r="D107" i="4"/>
  <c r="D72" i="4"/>
  <c r="E72" i="4"/>
  <c r="D42" i="4"/>
  <c r="E42" i="4"/>
  <c r="E133" i="4"/>
  <c r="D133" i="4"/>
  <c r="E127" i="4"/>
  <c r="D127" i="4"/>
  <c r="D162" i="4"/>
  <c r="E162" i="4"/>
  <c r="D59" i="4"/>
  <c r="E59" i="4"/>
  <c r="D48" i="4"/>
  <c r="E48" i="4"/>
  <c r="E70" i="4"/>
  <c r="D70" i="4"/>
  <c r="D44" i="4"/>
  <c r="E44" i="4"/>
  <c r="D99" i="4"/>
  <c r="E99" i="4"/>
  <c r="E183" i="4"/>
  <c r="D183" i="4"/>
  <c r="E202" i="4"/>
  <c r="D202" i="4"/>
  <c r="D45" i="4"/>
  <c r="E45" i="4"/>
  <c r="D62" i="4"/>
  <c r="E62" i="4"/>
  <c r="E50" i="4"/>
  <c r="D50" i="4"/>
  <c r="E181" i="4"/>
  <c r="D181" i="4"/>
  <c r="D138" i="4"/>
  <c r="E138" i="4"/>
  <c r="E64" i="4"/>
  <c r="D64" i="4"/>
  <c r="D211" i="4"/>
  <c r="E211" i="4"/>
  <c r="E41" i="4"/>
  <c r="D41" i="4"/>
  <c r="E88" i="4"/>
  <c r="D88" i="4"/>
  <c r="E126" i="4"/>
  <c r="D126" i="4"/>
  <c r="D194" i="4"/>
  <c r="E194" i="4"/>
  <c r="D109" i="4"/>
  <c r="E109" i="4"/>
  <c r="E82" i="4"/>
  <c r="D82" i="4"/>
  <c r="E184" i="4"/>
  <c r="D184" i="4"/>
  <c r="D43" i="4"/>
  <c r="E43" i="4"/>
  <c r="D153" i="4"/>
  <c r="E153" i="4"/>
  <c r="D169" i="4"/>
  <c r="E169" i="4"/>
  <c r="D125" i="4"/>
  <c r="E125" i="4"/>
  <c r="E73" i="4"/>
  <c r="D73" i="4"/>
  <c r="D75" i="4"/>
  <c r="E75" i="4"/>
  <c r="E111" i="4"/>
  <c r="D111" i="4"/>
  <c r="E149" i="4"/>
  <c r="D149" i="4"/>
  <c r="D97" i="4"/>
  <c r="E97" i="4"/>
  <c r="E174" i="4"/>
  <c r="D174" i="4"/>
  <c r="D218" i="4"/>
  <c r="E218" i="4"/>
  <c r="E137" i="4"/>
  <c r="D137" i="4"/>
  <c r="E115" i="4"/>
  <c r="D115" i="4"/>
  <c r="D122" i="4"/>
  <c r="E122" i="4"/>
  <c r="E192" i="4"/>
  <c r="D192" i="4"/>
  <c r="D187" i="4"/>
  <c r="E187" i="4"/>
  <c r="D215" i="4"/>
  <c r="E215" i="4"/>
  <c r="E156" i="4"/>
  <c r="D156" i="4"/>
  <c r="E208" i="4"/>
  <c r="D208" i="4"/>
  <c r="E201" i="4"/>
  <c r="D201" i="4"/>
  <c r="E198" i="4"/>
  <c r="D198" i="4"/>
  <c r="E141" i="4"/>
  <c r="D141" i="4"/>
  <c r="E190" i="4"/>
  <c r="D190" i="4"/>
  <c r="D65" i="4"/>
  <c r="E65" i="4"/>
  <c r="E179" i="4"/>
  <c r="D179" i="4"/>
  <c r="D193" i="4"/>
  <c r="E193" i="4"/>
  <c r="E60" i="4"/>
  <c r="D60" i="4"/>
  <c r="D212" i="4"/>
  <c r="E212" i="4"/>
  <c r="E170" i="4"/>
  <c r="D170" i="4"/>
  <c r="E158" i="4"/>
  <c r="D158" i="4"/>
  <c r="D135" i="4"/>
  <c r="E135" i="4"/>
  <c r="D164" i="4"/>
  <c r="E164" i="4"/>
  <c r="D87" i="4"/>
  <c r="E87" i="4"/>
  <c r="D112" i="4"/>
  <c r="E112" i="4"/>
  <c r="D92" i="4"/>
  <c r="E92" i="4"/>
  <c r="E49" i="4"/>
  <c r="D49" i="4"/>
</calcChain>
</file>

<file path=xl/sharedStrings.xml><?xml version="1.0" encoding="utf-8"?>
<sst xmlns="http://schemas.openxmlformats.org/spreadsheetml/2006/main" count="90" uniqueCount="78">
  <si>
    <t>°</t>
  </si>
  <si>
    <t>n</t>
  </si>
  <si>
    <t>FWHM</t>
  </si>
  <si>
    <t>I0 / Phi</t>
  </si>
  <si>
    <t>FW0.1M</t>
  </si>
  <si>
    <t>cd/lm</t>
  </si>
  <si>
    <r>
      <t>cos</t>
    </r>
    <r>
      <rPr>
        <vertAlign val="superscript"/>
        <sz val="28"/>
        <color theme="1"/>
        <rFont val="Calibri"/>
        <family val="2"/>
        <scheme val="minor"/>
      </rPr>
      <t>n</t>
    </r>
    <r>
      <rPr>
        <sz val="28"/>
        <color theme="1"/>
        <rFont val="Calibri"/>
        <family val="2"/>
        <scheme val="minor"/>
      </rPr>
      <t xml:space="preserve"> calculator</t>
    </r>
  </si>
  <si>
    <r>
      <t>I prefer cos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over Gaussian distributions for several reasons:</t>
    </r>
  </si>
  <si>
    <t>a) zero at 90°, even for wide beams</t>
  </si>
  <si>
    <t>b) easy to integrate analytically</t>
  </si>
  <si>
    <t>c) simple relation between peak intensity and flux</t>
  </si>
  <si>
    <t>Input is yellow</t>
  </si>
  <si>
    <t>Output is green</t>
  </si>
  <si>
    <t>This software is public domain, provided as-is without any warranty, under the Unlicense. See https://unlicense.org</t>
  </si>
  <si>
    <t>cos</t>
  </si>
  <si>
    <t>Main (from n)</t>
  </si>
  <si>
    <t>From FWHM</t>
  </si>
  <si>
    <t>From I0/phi</t>
  </si>
  <si>
    <t>Comments are welcome: Please send to the author, Julius Muschaweck, julius@jmoptics.de</t>
  </si>
  <si>
    <r>
      <t>This worksheet is intended to make cos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easy to use for you, the optical designers.</t>
    </r>
  </si>
  <si>
    <r>
      <t>Beams for illumination can often be modelled quite well using a cos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(alpha) distribution.</t>
    </r>
  </si>
  <si>
    <t>alpha</t>
  </si>
  <si>
    <t>## LightTools (R) apodization file, created from JMO's cos^n calculator</t>
  </si>
  <si>
    <t>## using</t>
  </si>
  <si>
    <t>##</t>
  </si>
  <si>
    <t>XDim</t>
  </si>
  <si>
    <t>YDim</t>
  </si>
  <si>
    <t>minXbound</t>
  </si>
  <si>
    <t>minYbound</t>
  </si>
  <si>
    <t>maxXbound</t>
  </si>
  <si>
    <t>maxYbound</t>
  </si>
  <si>
    <t>SPHEREMESH:</t>
  </si>
  <si>
    <t>Mesh cell values</t>
  </si>
  <si>
    <t>LightTools apodization helper</t>
  </si>
  <si>
    <t>cos^(n+1)</t>
  </si>
  <si>
    <t>analytical value for 1° interval</t>
  </si>
  <si>
    <t>Here is also the "encircled energy" plot: how much relative flux is contained in a cone?</t>
  </si>
  <si>
    <t>The formula is simply Phi_rel(alpha) = 1 - (cos(alpha))^(n+1)</t>
  </si>
  <si>
    <t>encircled energy helper</t>
  </si>
  <si>
    <t>half width half max helper</t>
  </si>
  <si>
    <t>(n is the "main value" in cell B15).</t>
  </si>
  <si>
    <t>You also see that for large n / narrow beams, about 50% of flux is within the FWHM intensity</t>
  </si>
  <si>
    <t xml:space="preserve">-- another nice feature of the cos^n distribution </t>
  </si>
  <si>
    <t xml:space="preserve">LightTools Slice merit function helper for </t>
  </si>
  <si>
    <t>Angle</t>
  </si>
  <si>
    <t>1. Set the intensity slices like this:</t>
  </si>
  <si>
    <t>Full Sphere</t>
  </si>
  <si>
    <t>Max. Angle 90°</t>
  </si>
  <si>
    <t>Bin resolution: 1°</t>
  </si>
  <si>
    <t>Symmetry: Rotational</t>
  </si>
  <si>
    <t>2. Create a Slice Merit Function:</t>
  </si>
  <si>
    <t>Right click on the slices</t>
  </si>
  <si>
    <t>3. In the new Slice Merit function:</t>
  </si>
  <si>
    <t>Select  the Slice Data tab</t>
  </si>
  <si>
    <t>Select "Target" as Data to View</t>
  </si>
  <si>
    <t>Select the first field at -90°</t>
  </si>
  <si>
    <t>Copy and paste the content of</t>
  </si>
  <si>
    <t>the green fields below.</t>
  </si>
  <si>
    <t>(this is the value in cell cosn!B15)</t>
  </si>
  <si>
    <t>Slice values</t>
  </si>
  <si>
    <t xml:space="preserve">direct cos^n </t>
  </si>
  <si>
    <t>difference</t>
  </si>
  <si>
    <t>ratio</t>
  </si>
  <si>
    <t>In LightTools, cos^n distributions are now available both for scattering surfaces</t>
  </si>
  <si>
    <t>and as source apodization.</t>
  </si>
  <si>
    <t xml:space="preserve">If, however, cos^n is your target distribution in an optimization, that is not </t>
  </si>
  <si>
    <t>available natively. In the next tab, "LightTools slice merit function", I provide the correct</t>
  </si>
  <si>
    <t>values for you, with instructions on how to apply them to a LightTools model.</t>
  </si>
  <si>
    <t xml:space="preserve">There is a subtle issue with using cos^n for slices: A slice value for, say, 46°, is NOT exactly </t>
  </si>
  <si>
    <t>cos(46°)^n. It is the integral of cos(alpha)^n over the slice angle interval on which 46° is centered.</t>
  </si>
  <si>
    <t>For 1° slice resolution, this integral is:</t>
  </si>
  <si>
    <t xml:space="preserve">The difference is only appreciable for large n values / narrow beams, and even there it </t>
  </si>
  <si>
    <t>amounts to only a few percent, but if something is easy to get fully correct, let's do it.</t>
  </si>
  <si>
    <t>Helper tables to compute data for plots</t>
  </si>
  <si>
    <t>Gaussian sigma</t>
  </si>
  <si>
    <r>
      <t>(up to about 60° FWHM, there is negligible difference between Gaussian and cos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)</t>
    </r>
  </si>
  <si>
    <r>
      <t xml:space="preserve">Gaussian </t>
    </r>
    <r>
      <rPr>
        <sz val="11"/>
        <color theme="1"/>
        <rFont val="Symbol"/>
        <family val="1"/>
        <charset val="2"/>
      </rPr>
      <t>s</t>
    </r>
  </si>
  <si>
    <t>I0/Phi of FWHM
trunc'd Lambert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</si>
</sst>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vertAlign val="superscript"/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rgb="FFFFC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00B050"/>
      </bottom>
      <diagonal/>
    </border>
    <border>
      <left/>
      <right/>
      <top/>
      <bottom style="thick">
        <color rgb="FF7030A0"/>
      </bottom>
      <diagonal/>
    </border>
    <border>
      <left style="thick">
        <color rgb="FF7030A0"/>
      </left>
      <right style="thick">
        <color rgb="FF00B050"/>
      </right>
      <top style="thick">
        <color rgb="FF7030A0"/>
      </top>
      <bottom style="thick">
        <color rgb="FF7030A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7030A0"/>
      </right>
      <top/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C000"/>
      </left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 style="thick">
        <color rgb="FF00B050"/>
      </left>
      <right/>
      <top style="thick">
        <color rgb="FF00B050"/>
      </top>
      <bottom style="thick">
        <color rgb="FF00B05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0" fillId="2" borderId="0" xfId="0" applyFill="1"/>
    <xf numFmtId="0" fontId="0" fillId="3" borderId="0" xfId="0" applyFill="1"/>
    <xf numFmtId="2" fontId="0" fillId="2" borderId="0" xfId="0" applyNumberFormat="1" applyFill="1"/>
    <xf numFmtId="2" fontId="0" fillId="3" borderId="0" xfId="0" applyNumberFormat="1" applyFill="1"/>
    <xf numFmtId="0" fontId="7" fillId="0" borderId="0" xfId="2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2" fillId="0" borderId="0" xfId="0" applyFont="1"/>
    <xf numFmtId="0" fontId="8" fillId="0" borderId="0" xfId="0" applyFont="1"/>
    <xf numFmtId="0" fontId="9" fillId="0" borderId="0" xfId="0" applyFont="1"/>
    <xf numFmtId="2" fontId="2" fillId="0" borderId="0" xfId="0" applyNumberFormat="1" applyFont="1"/>
    <xf numFmtId="2" fontId="0" fillId="0" borderId="0" xfId="1" applyNumberFormat="1" applyFont="1"/>
    <xf numFmtId="2" fontId="8" fillId="0" borderId="0" xfId="0" applyNumberFormat="1" applyFont="1"/>
    <xf numFmtId="2" fontId="9" fillId="0" borderId="0" xfId="0" applyNumberFormat="1" applyFont="1"/>
    <xf numFmtId="2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0" fontId="10" fillId="0" borderId="0" xfId="0" applyFont="1"/>
    <xf numFmtId="0" fontId="0" fillId="4" borderId="0" xfId="0" applyFill="1"/>
    <xf numFmtId="0" fontId="11" fillId="0" borderId="0" xfId="0" applyFont="1"/>
    <xf numFmtId="2" fontId="0" fillId="3" borderId="0" xfId="0" applyNumberFormat="1" applyFill="1" applyAlignment="1">
      <alignment horizontal="right"/>
    </xf>
    <xf numFmtId="0" fontId="0" fillId="0" borderId="9" xfId="0" applyBorder="1"/>
    <xf numFmtId="0" fontId="0" fillId="0" borderId="8" xfId="0" applyBorder="1"/>
    <xf numFmtId="0" fontId="13" fillId="0" borderId="0" xfId="0" applyFont="1"/>
    <xf numFmtId="2" fontId="13" fillId="0" borderId="0" xfId="0" applyNumberFormat="1" applyFont="1"/>
    <xf numFmtId="0" fontId="0" fillId="0" borderId="0" xfId="0" applyAlignment="1">
      <alignment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cos^n</a:t>
            </a:r>
            <a:r>
              <a:rPr lang="de-DE" baseline="0"/>
              <a:t> distributions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cosn!$O$3</c:f>
              <c:strCache>
                <c:ptCount val="1"/>
                <c:pt idx="0">
                  <c:v>cos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cosn!$I$4:$I$187</c:f>
              <c:numCache>
                <c:formatCode>General</c:formatCode>
                <c:ptCount val="184"/>
                <c:pt idx="0">
                  <c:v>-90</c:v>
                </c:pt>
                <c:pt idx="1">
                  <c:v>-89</c:v>
                </c:pt>
                <c:pt idx="2">
                  <c:v>-88</c:v>
                </c:pt>
                <c:pt idx="3">
                  <c:v>-87</c:v>
                </c:pt>
                <c:pt idx="4">
                  <c:v>-86</c:v>
                </c:pt>
                <c:pt idx="5">
                  <c:v>-85</c:v>
                </c:pt>
                <c:pt idx="6">
                  <c:v>-84</c:v>
                </c:pt>
                <c:pt idx="7">
                  <c:v>-83</c:v>
                </c:pt>
                <c:pt idx="8">
                  <c:v>-82</c:v>
                </c:pt>
                <c:pt idx="9">
                  <c:v>-81</c:v>
                </c:pt>
                <c:pt idx="10">
                  <c:v>-80</c:v>
                </c:pt>
                <c:pt idx="11">
                  <c:v>-79</c:v>
                </c:pt>
                <c:pt idx="12">
                  <c:v>-78</c:v>
                </c:pt>
                <c:pt idx="13">
                  <c:v>-77</c:v>
                </c:pt>
                <c:pt idx="14">
                  <c:v>-76</c:v>
                </c:pt>
                <c:pt idx="15">
                  <c:v>-75</c:v>
                </c:pt>
                <c:pt idx="16">
                  <c:v>-74</c:v>
                </c:pt>
                <c:pt idx="17">
                  <c:v>-73</c:v>
                </c:pt>
                <c:pt idx="18">
                  <c:v>-72</c:v>
                </c:pt>
                <c:pt idx="19">
                  <c:v>-71</c:v>
                </c:pt>
                <c:pt idx="20">
                  <c:v>-70</c:v>
                </c:pt>
                <c:pt idx="21">
                  <c:v>-69</c:v>
                </c:pt>
                <c:pt idx="22">
                  <c:v>-68</c:v>
                </c:pt>
                <c:pt idx="23">
                  <c:v>-67</c:v>
                </c:pt>
                <c:pt idx="24">
                  <c:v>-66</c:v>
                </c:pt>
                <c:pt idx="25">
                  <c:v>-65</c:v>
                </c:pt>
                <c:pt idx="26">
                  <c:v>-64</c:v>
                </c:pt>
                <c:pt idx="27">
                  <c:v>-63</c:v>
                </c:pt>
                <c:pt idx="28">
                  <c:v>-62</c:v>
                </c:pt>
                <c:pt idx="29">
                  <c:v>-61</c:v>
                </c:pt>
                <c:pt idx="30">
                  <c:v>-60</c:v>
                </c:pt>
                <c:pt idx="31">
                  <c:v>-59</c:v>
                </c:pt>
                <c:pt idx="32">
                  <c:v>-58</c:v>
                </c:pt>
                <c:pt idx="33">
                  <c:v>-57</c:v>
                </c:pt>
                <c:pt idx="34">
                  <c:v>-56</c:v>
                </c:pt>
                <c:pt idx="35">
                  <c:v>-55</c:v>
                </c:pt>
                <c:pt idx="39">
                  <c:v>-54</c:v>
                </c:pt>
                <c:pt idx="40">
                  <c:v>-53</c:v>
                </c:pt>
                <c:pt idx="41">
                  <c:v>-52</c:v>
                </c:pt>
                <c:pt idx="42">
                  <c:v>-51</c:v>
                </c:pt>
                <c:pt idx="43">
                  <c:v>-50</c:v>
                </c:pt>
                <c:pt idx="44">
                  <c:v>-49</c:v>
                </c:pt>
                <c:pt idx="45">
                  <c:v>-48</c:v>
                </c:pt>
                <c:pt idx="46">
                  <c:v>-47</c:v>
                </c:pt>
                <c:pt idx="47">
                  <c:v>-46</c:v>
                </c:pt>
                <c:pt idx="48">
                  <c:v>-45</c:v>
                </c:pt>
                <c:pt idx="49">
                  <c:v>-44</c:v>
                </c:pt>
                <c:pt idx="50">
                  <c:v>-43</c:v>
                </c:pt>
                <c:pt idx="51">
                  <c:v>-42</c:v>
                </c:pt>
                <c:pt idx="52">
                  <c:v>-41</c:v>
                </c:pt>
                <c:pt idx="53">
                  <c:v>-40</c:v>
                </c:pt>
                <c:pt idx="54">
                  <c:v>-39</c:v>
                </c:pt>
                <c:pt idx="55">
                  <c:v>-38</c:v>
                </c:pt>
                <c:pt idx="56">
                  <c:v>-37</c:v>
                </c:pt>
                <c:pt idx="57">
                  <c:v>-36</c:v>
                </c:pt>
                <c:pt idx="58">
                  <c:v>-35</c:v>
                </c:pt>
                <c:pt idx="59">
                  <c:v>-34</c:v>
                </c:pt>
                <c:pt idx="60">
                  <c:v>-33</c:v>
                </c:pt>
                <c:pt idx="61">
                  <c:v>-32</c:v>
                </c:pt>
                <c:pt idx="62">
                  <c:v>-31</c:v>
                </c:pt>
                <c:pt idx="63">
                  <c:v>-30</c:v>
                </c:pt>
                <c:pt idx="64">
                  <c:v>-29</c:v>
                </c:pt>
                <c:pt idx="65">
                  <c:v>-28</c:v>
                </c:pt>
                <c:pt idx="66">
                  <c:v>-27</c:v>
                </c:pt>
                <c:pt idx="67">
                  <c:v>-26</c:v>
                </c:pt>
                <c:pt idx="68">
                  <c:v>-25</c:v>
                </c:pt>
                <c:pt idx="69">
                  <c:v>-24</c:v>
                </c:pt>
                <c:pt idx="70">
                  <c:v>-23</c:v>
                </c:pt>
                <c:pt idx="71">
                  <c:v>-22</c:v>
                </c:pt>
                <c:pt idx="72">
                  <c:v>-21</c:v>
                </c:pt>
                <c:pt idx="73">
                  <c:v>-20</c:v>
                </c:pt>
                <c:pt idx="74">
                  <c:v>-19</c:v>
                </c:pt>
                <c:pt idx="75">
                  <c:v>-18</c:v>
                </c:pt>
                <c:pt idx="76">
                  <c:v>-17</c:v>
                </c:pt>
                <c:pt idx="77">
                  <c:v>-16</c:v>
                </c:pt>
                <c:pt idx="78">
                  <c:v>-15</c:v>
                </c:pt>
                <c:pt idx="79">
                  <c:v>-14</c:v>
                </c:pt>
                <c:pt idx="80">
                  <c:v>-13</c:v>
                </c:pt>
                <c:pt idx="81">
                  <c:v>-12</c:v>
                </c:pt>
                <c:pt idx="82">
                  <c:v>-11</c:v>
                </c:pt>
                <c:pt idx="83">
                  <c:v>-10</c:v>
                </c:pt>
                <c:pt idx="84">
                  <c:v>-9</c:v>
                </c:pt>
                <c:pt idx="85">
                  <c:v>-8</c:v>
                </c:pt>
                <c:pt idx="86">
                  <c:v>-7</c:v>
                </c:pt>
                <c:pt idx="87">
                  <c:v>-6</c:v>
                </c:pt>
                <c:pt idx="88">
                  <c:v>-5</c:v>
                </c:pt>
                <c:pt idx="89">
                  <c:v>-4</c:v>
                </c:pt>
                <c:pt idx="90">
                  <c:v>-3</c:v>
                </c:pt>
                <c:pt idx="91">
                  <c:v>-2</c:v>
                </c:pt>
                <c:pt idx="92">
                  <c:v>-1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5</c:v>
                </c:pt>
                <c:pt idx="99">
                  <c:v>6</c:v>
                </c:pt>
                <c:pt idx="100">
                  <c:v>7</c:v>
                </c:pt>
                <c:pt idx="101">
                  <c:v>8</c:v>
                </c:pt>
                <c:pt idx="102">
                  <c:v>9</c:v>
                </c:pt>
                <c:pt idx="103">
                  <c:v>10</c:v>
                </c:pt>
                <c:pt idx="104">
                  <c:v>11</c:v>
                </c:pt>
                <c:pt idx="105">
                  <c:v>12</c:v>
                </c:pt>
                <c:pt idx="106">
                  <c:v>13</c:v>
                </c:pt>
                <c:pt idx="107">
                  <c:v>14</c:v>
                </c:pt>
                <c:pt idx="108">
                  <c:v>15</c:v>
                </c:pt>
                <c:pt idx="109">
                  <c:v>16</c:v>
                </c:pt>
                <c:pt idx="110">
                  <c:v>17</c:v>
                </c:pt>
                <c:pt idx="111">
                  <c:v>18</c:v>
                </c:pt>
                <c:pt idx="112">
                  <c:v>19</c:v>
                </c:pt>
                <c:pt idx="113">
                  <c:v>20</c:v>
                </c:pt>
                <c:pt idx="114">
                  <c:v>21</c:v>
                </c:pt>
                <c:pt idx="115">
                  <c:v>22</c:v>
                </c:pt>
                <c:pt idx="116">
                  <c:v>23</c:v>
                </c:pt>
                <c:pt idx="117">
                  <c:v>24</c:v>
                </c:pt>
                <c:pt idx="118">
                  <c:v>25</c:v>
                </c:pt>
                <c:pt idx="119">
                  <c:v>26</c:v>
                </c:pt>
                <c:pt idx="120">
                  <c:v>27</c:v>
                </c:pt>
                <c:pt idx="121">
                  <c:v>28</c:v>
                </c:pt>
                <c:pt idx="122">
                  <c:v>29</c:v>
                </c:pt>
                <c:pt idx="123">
                  <c:v>30</c:v>
                </c:pt>
                <c:pt idx="124">
                  <c:v>31</c:v>
                </c:pt>
                <c:pt idx="125">
                  <c:v>32</c:v>
                </c:pt>
                <c:pt idx="126">
                  <c:v>33</c:v>
                </c:pt>
                <c:pt idx="127">
                  <c:v>34</c:v>
                </c:pt>
                <c:pt idx="128">
                  <c:v>35</c:v>
                </c:pt>
                <c:pt idx="129">
                  <c:v>36</c:v>
                </c:pt>
                <c:pt idx="130">
                  <c:v>37</c:v>
                </c:pt>
                <c:pt idx="131">
                  <c:v>38</c:v>
                </c:pt>
                <c:pt idx="132">
                  <c:v>39</c:v>
                </c:pt>
                <c:pt idx="133">
                  <c:v>40</c:v>
                </c:pt>
                <c:pt idx="134">
                  <c:v>41</c:v>
                </c:pt>
                <c:pt idx="135">
                  <c:v>42</c:v>
                </c:pt>
                <c:pt idx="136">
                  <c:v>43</c:v>
                </c:pt>
                <c:pt idx="137">
                  <c:v>44</c:v>
                </c:pt>
                <c:pt idx="138">
                  <c:v>45</c:v>
                </c:pt>
                <c:pt idx="139">
                  <c:v>46</c:v>
                </c:pt>
                <c:pt idx="140">
                  <c:v>47</c:v>
                </c:pt>
                <c:pt idx="141">
                  <c:v>48</c:v>
                </c:pt>
                <c:pt idx="142">
                  <c:v>49</c:v>
                </c:pt>
                <c:pt idx="143">
                  <c:v>50</c:v>
                </c:pt>
                <c:pt idx="144">
                  <c:v>51</c:v>
                </c:pt>
                <c:pt idx="145">
                  <c:v>52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56</c:v>
                </c:pt>
                <c:pt idx="150">
                  <c:v>57</c:v>
                </c:pt>
                <c:pt idx="151">
                  <c:v>58</c:v>
                </c:pt>
                <c:pt idx="152">
                  <c:v>59</c:v>
                </c:pt>
                <c:pt idx="153">
                  <c:v>60</c:v>
                </c:pt>
                <c:pt idx="154">
                  <c:v>61</c:v>
                </c:pt>
                <c:pt idx="155">
                  <c:v>62</c:v>
                </c:pt>
                <c:pt idx="156">
                  <c:v>63</c:v>
                </c:pt>
                <c:pt idx="157">
                  <c:v>64</c:v>
                </c:pt>
                <c:pt idx="158">
                  <c:v>65</c:v>
                </c:pt>
                <c:pt idx="159">
                  <c:v>66</c:v>
                </c:pt>
                <c:pt idx="160">
                  <c:v>67</c:v>
                </c:pt>
                <c:pt idx="161">
                  <c:v>68</c:v>
                </c:pt>
                <c:pt idx="162">
                  <c:v>69</c:v>
                </c:pt>
                <c:pt idx="163">
                  <c:v>70</c:v>
                </c:pt>
                <c:pt idx="164">
                  <c:v>71</c:v>
                </c:pt>
                <c:pt idx="165">
                  <c:v>72</c:v>
                </c:pt>
                <c:pt idx="166">
                  <c:v>73</c:v>
                </c:pt>
                <c:pt idx="167">
                  <c:v>74</c:v>
                </c:pt>
                <c:pt idx="168">
                  <c:v>75</c:v>
                </c:pt>
                <c:pt idx="169">
                  <c:v>76</c:v>
                </c:pt>
                <c:pt idx="170">
                  <c:v>77</c:v>
                </c:pt>
                <c:pt idx="171">
                  <c:v>78</c:v>
                </c:pt>
                <c:pt idx="172">
                  <c:v>79</c:v>
                </c:pt>
                <c:pt idx="173">
                  <c:v>80</c:v>
                </c:pt>
                <c:pt idx="174">
                  <c:v>81</c:v>
                </c:pt>
                <c:pt idx="175">
                  <c:v>82</c:v>
                </c:pt>
                <c:pt idx="176">
                  <c:v>83</c:v>
                </c:pt>
                <c:pt idx="177">
                  <c:v>84</c:v>
                </c:pt>
                <c:pt idx="178">
                  <c:v>85</c:v>
                </c:pt>
                <c:pt idx="179">
                  <c:v>86</c:v>
                </c:pt>
                <c:pt idx="180">
                  <c:v>87</c:v>
                </c:pt>
                <c:pt idx="181">
                  <c:v>88</c:v>
                </c:pt>
                <c:pt idx="182">
                  <c:v>89</c:v>
                </c:pt>
                <c:pt idx="183">
                  <c:v>90</c:v>
                </c:pt>
              </c:numCache>
            </c:numRef>
          </c:xVal>
          <c:yVal>
            <c:numRef>
              <c:f>cosn!$O$4:$O$187</c:f>
              <c:numCache>
                <c:formatCode>0.00</c:formatCode>
                <c:ptCount val="184"/>
                <c:pt idx="0">
                  <c:v>6.1257422745431001E-17</c:v>
                </c:pt>
                <c:pt idx="1">
                  <c:v>1.7452406437283376E-2</c:v>
                </c:pt>
                <c:pt idx="2">
                  <c:v>3.489949670250108E-2</c:v>
                </c:pt>
                <c:pt idx="3">
                  <c:v>5.2335956242943966E-2</c:v>
                </c:pt>
                <c:pt idx="4">
                  <c:v>6.9756473744125455E-2</c:v>
                </c:pt>
                <c:pt idx="5">
                  <c:v>8.7155742747658138E-2</c:v>
                </c:pt>
                <c:pt idx="6">
                  <c:v>0.10452846326765346</c:v>
                </c:pt>
                <c:pt idx="7">
                  <c:v>0.12186934340514749</c:v>
                </c:pt>
                <c:pt idx="8">
                  <c:v>0.13917310096006569</c:v>
                </c:pt>
                <c:pt idx="9">
                  <c:v>0.15643446504023092</c:v>
                </c:pt>
                <c:pt idx="10">
                  <c:v>0.17364817766693041</c:v>
                </c:pt>
                <c:pt idx="11">
                  <c:v>0.19080899537654492</c:v>
                </c:pt>
                <c:pt idx="12">
                  <c:v>0.20791169081775945</c:v>
                </c:pt>
                <c:pt idx="13">
                  <c:v>0.22495105434386492</c:v>
                </c:pt>
                <c:pt idx="14">
                  <c:v>0.2419218955996679</c:v>
                </c:pt>
                <c:pt idx="15">
                  <c:v>0.25881904510252074</c:v>
                </c:pt>
                <c:pt idx="16">
                  <c:v>0.27563735581699916</c:v>
                </c:pt>
                <c:pt idx="17">
                  <c:v>0.29237170472273677</c:v>
                </c:pt>
                <c:pt idx="18">
                  <c:v>0.30901699437494745</c:v>
                </c:pt>
                <c:pt idx="19">
                  <c:v>0.32556815445715676</c:v>
                </c:pt>
                <c:pt idx="20">
                  <c:v>0.34202014332566882</c:v>
                </c:pt>
                <c:pt idx="21">
                  <c:v>0.35836794954530038</c:v>
                </c:pt>
                <c:pt idx="22">
                  <c:v>0.37460659341591196</c:v>
                </c:pt>
                <c:pt idx="23">
                  <c:v>0.39073112848927394</c:v>
                </c:pt>
                <c:pt idx="24">
                  <c:v>0.40673664307580021</c:v>
                </c:pt>
                <c:pt idx="25">
                  <c:v>0.42261826174069944</c:v>
                </c:pt>
                <c:pt idx="26">
                  <c:v>0.43837114678907746</c:v>
                </c:pt>
                <c:pt idx="27">
                  <c:v>0.4539904997395468</c:v>
                </c:pt>
                <c:pt idx="28">
                  <c:v>0.46947156278589086</c:v>
                </c:pt>
                <c:pt idx="29">
                  <c:v>0.48480962024633711</c:v>
                </c:pt>
                <c:pt idx="30">
                  <c:v>0.50000000000000011</c:v>
                </c:pt>
                <c:pt idx="31">
                  <c:v>0.51503807491005438</c:v>
                </c:pt>
                <c:pt idx="32">
                  <c:v>0.5299192642332049</c:v>
                </c:pt>
                <c:pt idx="33">
                  <c:v>0.5446390350150272</c:v>
                </c:pt>
                <c:pt idx="34">
                  <c:v>0.55919290347074679</c:v>
                </c:pt>
                <c:pt idx="35">
                  <c:v>0.57357643635104616</c:v>
                </c:pt>
                <c:pt idx="39">
                  <c:v>0.58778525229247314</c:v>
                </c:pt>
                <c:pt idx="40">
                  <c:v>0.60181502315204838</c:v>
                </c:pt>
                <c:pt idx="41">
                  <c:v>0.61566147532565829</c:v>
                </c:pt>
                <c:pt idx="42">
                  <c:v>0.6293203910498375</c:v>
                </c:pt>
                <c:pt idx="43">
                  <c:v>0.64278760968653936</c:v>
                </c:pt>
                <c:pt idx="44">
                  <c:v>0.65605902899050728</c:v>
                </c:pt>
                <c:pt idx="45">
                  <c:v>0.66913060635885824</c:v>
                </c:pt>
                <c:pt idx="46">
                  <c:v>0.68199836006249848</c:v>
                </c:pt>
                <c:pt idx="47">
                  <c:v>0.69465837045899737</c:v>
                </c:pt>
                <c:pt idx="48">
                  <c:v>0.70710678118654757</c:v>
                </c:pt>
                <c:pt idx="49">
                  <c:v>0.71933980033865119</c:v>
                </c:pt>
                <c:pt idx="50">
                  <c:v>0.73135370161917057</c:v>
                </c:pt>
                <c:pt idx="51">
                  <c:v>0.74314482547739424</c:v>
                </c:pt>
                <c:pt idx="52">
                  <c:v>0.75470958022277213</c:v>
                </c:pt>
                <c:pt idx="53">
                  <c:v>0.76604444311897801</c:v>
                </c:pt>
                <c:pt idx="54">
                  <c:v>0.7771459614569709</c:v>
                </c:pt>
                <c:pt idx="55">
                  <c:v>0.78801075360672201</c:v>
                </c:pt>
                <c:pt idx="56">
                  <c:v>0.79863551004729283</c:v>
                </c:pt>
                <c:pt idx="57">
                  <c:v>0.80901699437494745</c:v>
                </c:pt>
                <c:pt idx="58">
                  <c:v>0.8191520442889918</c:v>
                </c:pt>
                <c:pt idx="59">
                  <c:v>0.82903757255504162</c:v>
                </c:pt>
                <c:pt idx="60">
                  <c:v>0.83867056794542405</c:v>
                </c:pt>
                <c:pt idx="61">
                  <c:v>0.84804809615642596</c:v>
                </c:pt>
                <c:pt idx="62">
                  <c:v>0.85716730070211233</c:v>
                </c:pt>
                <c:pt idx="63">
                  <c:v>0.86602540378443871</c:v>
                </c:pt>
                <c:pt idx="64">
                  <c:v>0.87461970713939574</c:v>
                </c:pt>
                <c:pt idx="65">
                  <c:v>0.88294759285892699</c:v>
                </c:pt>
                <c:pt idx="66">
                  <c:v>0.8910065241883679</c:v>
                </c:pt>
                <c:pt idx="67">
                  <c:v>0.89879404629916704</c:v>
                </c:pt>
                <c:pt idx="68">
                  <c:v>0.90630778703664994</c:v>
                </c:pt>
                <c:pt idx="69">
                  <c:v>0.91354545764260087</c:v>
                </c:pt>
                <c:pt idx="70">
                  <c:v>0.92050485345244037</c:v>
                </c:pt>
                <c:pt idx="71">
                  <c:v>0.92718385456678742</c:v>
                </c:pt>
                <c:pt idx="72">
                  <c:v>0.93358042649720174</c:v>
                </c:pt>
                <c:pt idx="73">
                  <c:v>0.93969262078590843</c:v>
                </c:pt>
                <c:pt idx="74">
                  <c:v>0.94551857559931685</c:v>
                </c:pt>
                <c:pt idx="75">
                  <c:v>0.95105651629515353</c:v>
                </c:pt>
                <c:pt idx="76">
                  <c:v>0.95630475596303544</c:v>
                </c:pt>
                <c:pt idx="77">
                  <c:v>0.96126169593831889</c:v>
                </c:pt>
                <c:pt idx="78">
                  <c:v>0.96592582628906831</c:v>
                </c:pt>
                <c:pt idx="79">
                  <c:v>0.97029572627599647</c:v>
                </c:pt>
                <c:pt idx="80">
                  <c:v>0.97437006478523525</c:v>
                </c:pt>
                <c:pt idx="81">
                  <c:v>0.97814760073380569</c:v>
                </c:pt>
                <c:pt idx="82">
                  <c:v>0.98162718344766398</c:v>
                </c:pt>
                <c:pt idx="83">
                  <c:v>0.98480775301220802</c:v>
                </c:pt>
                <c:pt idx="84">
                  <c:v>0.98768834059513777</c:v>
                </c:pt>
                <c:pt idx="85">
                  <c:v>0.99026806874157036</c:v>
                </c:pt>
                <c:pt idx="86">
                  <c:v>0.99254615164132198</c:v>
                </c:pt>
                <c:pt idx="87">
                  <c:v>0.99452189536827329</c:v>
                </c:pt>
                <c:pt idx="88">
                  <c:v>0.99619469809174555</c:v>
                </c:pt>
                <c:pt idx="89">
                  <c:v>0.9975640502598242</c:v>
                </c:pt>
                <c:pt idx="90">
                  <c:v>0.99862953475457383</c:v>
                </c:pt>
                <c:pt idx="91">
                  <c:v>0.99939082701909576</c:v>
                </c:pt>
                <c:pt idx="92">
                  <c:v>0.99984769515639127</c:v>
                </c:pt>
                <c:pt idx="93">
                  <c:v>1</c:v>
                </c:pt>
                <c:pt idx="94">
                  <c:v>0.99984769515639127</c:v>
                </c:pt>
                <c:pt idx="95">
                  <c:v>0.99939082701909576</c:v>
                </c:pt>
                <c:pt idx="96">
                  <c:v>0.99862953475457383</c:v>
                </c:pt>
                <c:pt idx="97">
                  <c:v>0.9975640502598242</c:v>
                </c:pt>
                <c:pt idx="98">
                  <c:v>0.99619469809174555</c:v>
                </c:pt>
                <c:pt idx="99">
                  <c:v>0.99452189536827329</c:v>
                </c:pt>
                <c:pt idx="100">
                  <c:v>0.99254615164132198</c:v>
                </c:pt>
                <c:pt idx="101">
                  <c:v>0.99026806874157036</c:v>
                </c:pt>
                <c:pt idx="102">
                  <c:v>0.98768834059513777</c:v>
                </c:pt>
                <c:pt idx="103">
                  <c:v>0.98480775301220802</c:v>
                </c:pt>
                <c:pt idx="104">
                  <c:v>0.98162718344766398</c:v>
                </c:pt>
                <c:pt idx="105">
                  <c:v>0.97814760073380569</c:v>
                </c:pt>
                <c:pt idx="106">
                  <c:v>0.97437006478523525</c:v>
                </c:pt>
                <c:pt idx="107">
                  <c:v>0.97029572627599647</c:v>
                </c:pt>
                <c:pt idx="108">
                  <c:v>0.96592582628906831</c:v>
                </c:pt>
                <c:pt idx="109">
                  <c:v>0.96126169593831889</c:v>
                </c:pt>
                <c:pt idx="110">
                  <c:v>0.95630475596303544</c:v>
                </c:pt>
                <c:pt idx="111">
                  <c:v>0.95105651629515353</c:v>
                </c:pt>
                <c:pt idx="112">
                  <c:v>0.94551857559931685</c:v>
                </c:pt>
                <c:pt idx="113">
                  <c:v>0.93969262078590843</c:v>
                </c:pt>
                <c:pt idx="114">
                  <c:v>0.93358042649720174</c:v>
                </c:pt>
                <c:pt idx="115">
                  <c:v>0.92718385456678742</c:v>
                </c:pt>
                <c:pt idx="116">
                  <c:v>0.92050485345244037</c:v>
                </c:pt>
                <c:pt idx="117">
                  <c:v>0.91354545764260087</c:v>
                </c:pt>
                <c:pt idx="118">
                  <c:v>0.90630778703664994</c:v>
                </c:pt>
                <c:pt idx="119">
                  <c:v>0.89879404629916704</c:v>
                </c:pt>
                <c:pt idx="120">
                  <c:v>0.8910065241883679</c:v>
                </c:pt>
                <c:pt idx="121">
                  <c:v>0.88294759285892699</c:v>
                </c:pt>
                <c:pt idx="122">
                  <c:v>0.87461970713939574</c:v>
                </c:pt>
                <c:pt idx="123">
                  <c:v>0.86602540378443871</c:v>
                </c:pt>
                <c:pt idx="124">
                  <c:v>0.85716730070211233</c:v>
                </c:pt>
                <c:pt idx="125">
                  <c:v>0.84804809615642596</c:v>
                </c:pt>
                <c:pt idx="126">
                  <c:v>0.83867056794542405</c:v>
                </c:pt>
                <c:pt idx="127">
                  <c:v>0.82903757255504162</c:v>
                </c:pt>
                <c:pt idx="128">
                  <c:v>0.8191520442889918</c:v>
                </c:pt>
                <c:pt idx="129">
                  <c:v>0.80901699437494745</c:v>
                </c:pt>
                <c:pt idx="130">
                  <c:v>0.79863551004729283</c:v>
                </c:pt>
                <c:pt idx="131">
                  <c:v>0.78801075360672201</c:v>
                </c:pt>
                <c:pt idx="132">
                  <c:v>0.7771459614569709</c:v>
                </c:pt>
                <c:pt idx="133">
                  <c:v>0.76604444311897801</c:v>
                </c:pt>
                <c:pt idx="134">
                  <c:v>0.75470958022277213</c:v>
                </c:pt>
                <c:pt idx="135">
                  <c:v>0.74314482547739424</c:v>
                </c:pt>
                <c:pt idx="136">
                  <c:v>0.73135370161917057</c:v>
                </c:pt>
                <c:pt idx="137">
                  <c:v>0.71933980033865119</c:v>
                </c:pt>
                <c:pt idx="138">
                  <c:v>0.70710678118654757</c:v>
                </c:pt>
                <c:pt idx="139">
                  <c:v>0.69465837045899737</c:v>
                </c:pt>
                <c:pt idx="140">
                  <c:v>0.68199836006249848</c:v>
                </c:pt>
                <c:pt idx="141">
                  <c:v>0.66913060635885824</c:v>
                </c:pt>
                <c:pt idx="142">
                  <c:v>0.65605902899050728</c:v>
                </c:pt>
                <c:pt idx="143">
                  <c:v>0.64278760968653936</c:v>
                </c:pt>
                <c:pt idx="144">
                  <c:v>0.6293203910498375</c:v>
                </c:pt>
                <c:pt idx="145">
                  <c:v>0.61566147532565829</c:v>
                </c:pt>
                <c:pt idx="146">
                  <c:v>0.60181502315204838</c:v>
                </c:pt>
                <c:pt idx="147">
                  <c:v>0.58778525229247314</c:v>
                </c:pt>
                <c:pt idx="148">
                  <c:v>0.57357643635104616</c:v>
                </c:pt>
                <c:pt idx="149">
                  <c:v>0.55919290347074679</c:v>
                </c:pt>
                <c:pt idx="150">
                  <c:v>0.5446390350150272</c:v>
                </c:pt>
                <c:pt idx="151">
                  <c:v>0.5299192642332049</c:v>
                </c:pt>
                <c:pt idx="152">
                  <c:v>0.51503807491005438</c:v>
                </c:pt>
                <c:pt idx="153">
                  <c:v>0.50000000000000011</c:v>
                </c:pt>
                <c:pt idx="154">
                  <c:v>0.48480962024633711</c:v>
                </c:pt>
                <c:pt idx="155">
                  <c:v>0.46947156278589086</c:v>
                </c:pt>
                <c:pt idx="156">
                  <c:v>0.4539904997395468</c:v>
                </c:pt>
                <c:pt idx="157">
                  <c:v>0.43837114678907746</c:v>
                </c:pt>
                <c:pt idx="158">
                  <c:v>0.42261826174069944</c:v>
                </c:pt>
                <c:pt idx="159">
                  <c:v>0.40673664307580021</c:v>
                </c:pt>
                <c:pt idx="160">
                  <c:v>0.39073112848927394</c:v>
                </c:pt>
                <c:pt idx="161">
                  <c:v>0.37460659341591196</c:v>
                </c:pt>
                <c:pt idx="162">
                  <c:v>0.35836794954530038</c:v>
                </c:pt>
                <c:pt idx="163">
                  <c:v>0.34202014332566882</c:v>
                </c:pt>
                <c:pt idx="164">
                  <c:v>0.32556815445715676</c:v>
                </c:pt>
                <c:pt idx="165">
                  <c:v>0.30901699437494745</c:v>
                </c:pt>
                <c:pt idx="166">
                  <c:v>0.29237170472273677</c:v>
                </c:pt>
                <c:pt idx="167">
                  <c:v>0.27563735581699916</c:v>
                </c:pt>
                <c:pt idx="168">
                  <c:v>0.25881904510252074</c:v>
                </c:pt>
                <c:pt idx="169">
                  <c:v>0.2419218955996679</c:v>
                </c:pt>
                <c:pt idx="170">
                  <c:v>0.22495105434386492</c:v>
                </c:pt>
                <c:pt idx="171">
                  <c:v>0.20791169081775945</c:v>
                </c:pt>
                <c:pt idx="172">
                  <c:v>0.19080899537654492</c:v>
                </c:pt>
                <c:pt idx="173">
                  <c:v>0.17364817766693041</c:v>
                </c:pt>
                <c:pt idx="174">
                  <c:v>0.15643446504023092</c:v>
                </c:pt>
                <c:pt idx="175">
                  <c:v>0.13917310096006569</c:v>
                </c:pt>
                <c:pt idx="176">
                  <c:v>0.12186934340514749</c:v>
                </c:pt>
                <c:pt idx="177">
                  <c:v>0.10452846326765346</c:v>
                </c:pt>
                <c:pt idx="178">
                  <c:v>8.7155742747658138E-2</c:v>
                </c:pt>
                <c:pt idx="179">
                  <c:v>6.9756473744125455E-2</c:v>
                </c:pt>
                <c:pt idx="180">
                  <c:v>5.2335956242943966E-2</c:v>
                </c:pt>
                <c:pt idx="181">
                  <c:v>3.489949670250108E-2</c:v>
                </c:pt>
                <c:pt idx="182">
                  <c:v>1.7452406437283376E-2</c:v>
                </c:pt>
                <c:pt idx="183">
                  <c:v>6.1257422745431001E-17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65-4D37-8734-89B63333DE33}"/>
            </c:ext>
          </c:extLst>
        </c:ser>
        <c:ser>
          <c:idx val="1"/>
          <c:order val="1"/>
          <c:tx>
            <c:strRef>
              <c:f>cosn!$J$3</c:f>
              <c:strCache>
                <c:ptCount val="1"/>
                <c:pt idx="0">
                  <c:v>cos^1.00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cosn!$I$4:$I$187</c:f>
              <c:numCache>
                <c:formatCode>General</c:formatCode>
                <c:ptCount val="184"/>
                <c:pt idx="0">
                  <c:v>-90</c:v>
                </c:pt>
                <c:pt idx="1">
                  <c:v>-89</c:v>
                </c:pt>
                <c:pt idx="2">
                  <c:v>-88</c:v>
                </c:pt>
                <c:pt idx="3">
                  <c:v>-87</c:v>
                </c:pt>
                <c:pt idx="4">
                  <c:v>-86</c:v>
                </c:pt>
                <c:pt idx="5">
                  <c:v>-85</c:v>
                </c:pt>
                <c:pt idx="6">
                  <c:v>-84</c:v>
                </c:pt>
                <c:pt idx="7">
                  <c:v>-83</c:v>
                </c:pt>
                <c:pt idx="8">
                  <c:v>-82</c:v>
                </c:pt>
                <c:pt idx="9">
                  <c:v>-81</c:v>
                </c:pt>
                <c:pt idx="10">
                  <c:v>-80</c:v>
                </c:pt>
                <c:pt idx="11">
                  <c:v>-79</c:v>
                </c:pt>
                <c:pt idx="12">
                  <c:v>-78</c:v>
                </c:pt>
                <c:pt idx="13">
                  <c:v>-77</c:v>
                </c:pt>
                <c:pt idx="14">
                  <c:v>-76</c:v>
                </c:pt>
                <c:pt idx="15">
                  <c:v>-75</c:v>
                </c:pt>
                <c:pt idx="16">
                  <c:v>-74</c:v>
                </c:pt>
                <c:pt idx="17">
                  <c:v>-73</c:v>
                </c:pt>
                <c:pt idx="18">
                  <c:v>-72</c:v>
                </c:pt>
                <c:pt idx="19">
                  <c:v>-71</c:v>
                </c:pt>
                <c:pt idx="20">
                  <c:v>-70</c:v>
                </c:pt>
                <c:pt idx="21">
                  <c:v>-69</c:v>
                </c:pt>
                <c:pt idx="22">
                  <c:v>-68</c:v>
                </c:pt>
                <c:pt idx="23">
                  <c:v>-67</c:v>
                </c:pt>
                <c:pt idx="24">
                  <c:v>-66</c:v>
                </c:pt>
                <c:pt idx="25">
                  <c:v>-65</c:v>
                </c:pt>
                <c:pt idx="26">
                  <c:v>-64</c:v>
                </c:pt>
                <c:pt idx="27">
                  <c:v>-63</c:v>
                </c:pt>
                <c:pt idx="28">
                  <c:v>-62</c:v>
                </c:pt>
                <c:pt idx="29">
                  <c:v>-61</c:v>
                </c:pt>
                <c:pt idx="30">
                  <c:v>-60</c:v>
                </c:pt>
                <c:pt idx="31">
                  <c:v>-59</c:v>
                </c:pt>
                <c:pt idx="32">
                  <c:v>-58</c:v>
                </c:pt>
                <c:pt idx="33">
                  <c:v>-57</c:v>
                </c:pt>
                <c:pt idx="34">
                  <c:v>-56</c:v>
                </c:pt>
                <c:pt idx="35">
                  <c:v>-55</c:v>
                </c:pt>
                <c:pt idx="39">
                  <c:v>-54</c:v>
                </c:pt>
                <c:pt idx="40">
                  <c:v>-53</c:v>
                </c:pt>
                <c:pt idx="41">
                  <c:v>-52</c:v>
                </c:pt>
                <c:pt idx="42">
                  <c:v>-51</c:v>
                </c:pt>
                <c:pt idx="43">
                  <c:v>-50</c:v>
                </c:pt>
                <c:pt idx="44">
                  <c:v>-49</c:v>
                </c:pt>
                <c:pt idx="45">
                  <c:v>-48</c:v>
                </c:pt>
                <c:pt idx="46">
                  <c:v>-47</c:v>
                </c:pt>
                <c:pt idx="47">
                  <c:v>-46</c:v>
                </c:pt>
                <c:pt idx="48">
                  <c:v>-45</c:v>
                </c:pt>
                <c:pt idx="49">
                  <c:v>-44</c:v>
                </c:pt>
                <c:pt idx="50">
                  <c:v>-43</c:v>
                </c:pt>
                <c:pt idx="51">
                  <c:v>-42</c:v>
                </c:pt>
                <c:pt idx="52">
                  <c:v>-41</c:v>
                </c:pt>
                <c:pt idx="53">
                  <c:v>-40</c:v>
                </c:pt>
                <c:pt idx="54">
                  <c:v>-39</c:v>
                </c:pt>
                <c:pt idx="55">
                  <c:v>-38</c:v>
                </c:pt>
                <c:pt idx="56">
                  <c:v>-37</c:v>
                </c:pt>
                <c:pt idx="57">
                  <c:v>-36</c:v>
                </c:pt>
                <c:pt idx="58">
                  <c:v>-35</c:v>
                </c:pt>
                <c:pt idx="59">
                  <c:v>-34</c:v>
                </c:pt>
                <c:pt idx="60">
                  <c:v>-33</c:v>
                </c:pt>
                <c:pt idx="61">
                  <c:v>-32</c:v>
                </c:pt>
                <c:pt idx="62">
                  <c:v>-31</c:v>
                </c:pt>
                <c:pt idx="63">
                  <c:v>-30</c:v>
                </c:pt>
                <c:pt idx="64">
                  <c:v>-29</c:v>
                </c:pt>
                <c:pt idx="65">
                  <c:v>-28</c:v>
                </c:pt>
                <c:pt idx="66">
                  <c:v>-27</c:v>
                </c:pt>
                <c:pt idx="67">
                  <c:v>-26</c:v>
                </c:pt>
                <c:pt idx="68">
                  <c:v>-25</c:v>
                </c:pt>
                <c:pt idx="69">
                  <c:v>-24</c:v>
                </c:pt>
                <c:pt idx="70">
                  <c:v>-23</c:v>
                </c:pt>
                <c:pt idx="71">
                  <c:v>-22</c:v>
                </c:pt>
                <c:pt idx="72">
                  <c:v>-21</c:v>
                </c:pt>
                <c:pt idx="73">
                  <c:v>-20</c:v>
                </c:pt>
                <c:pt idx="74">
                  <c:v>-19</c:v>
                </c:pt>
                <c:pt idx="75">
                  <c:v>-18</c:v>
                </c:pt>
                <c:pt idx="76">
                  <c:v>-17</c:v>
                </c:pt>
                <c:pt idx="77">
                  <c:v>-16</c:v>
                </c:pt>
                <c:pt idx="78">
                  <c:v>-15</c:v>
                </c:pt>
                <c:pt idx="79">
                  <c:v>-14</c:v>
                </c:pt>
                <c:pt idx="80">
                  <c:v>-13</c:v>
                </c:pt>
                <c:pt idx="81">
                  <c:v>-12</c:v>
                </c:pt>
                <c:pt idx="82">
                  <c:v>-11</c:v>
                </c:pt>
                <c:pt idx="83">
                  <c:v>-10</c:v>
                </c:pt>
                <c:pt idx="84">
                  <c:v>-9</c:v>
                </c:pt>
                <c:pt idx="85">
                  <c:v>-8</c:v>
                </c:pt>
                <c:pt idx="86">
                  <c:v>-7</c:v>
                </c:pt>
                <c:pt idx="87">
                  <c:v>-6</c:v>
                </c:pt>
                <c:pt idx="88">
                  <c:v>-5</c:v>
                </c:pt>
                <c:pt idx="89">
                  <c:v>-4</c:v>
                </c:pt>
                <c:pt idx="90">
                  <c:v>-3</c:v>
                </c:pt>
                <c:pt idx="91">
                  <c:v>-2</c:v>
                </c:pt>
                <c:pt idx="92">
                  <c:v>-1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5</c:v>
                </c:pt>
                <c:pt idx="99">
                  <c:v>6</c:v>
                </c:pt>
                <c:pt idx="100">
                  <c:v>7</c:v>
                </c:pt>
                <c:pt idx="101">
                  <c:v>8</c:v>
                </c:pt>
                <c:pt idx="102">
                  <c:v>9</c:v>
                </c:pt>
                <c:pt idx="103">
                  <c:v>10</c:v>
                </c:pt>
                <c:pt idx="104">
                  <c:v>11</c:v>
                </c:pt>
                <c:pt idx="105">
                  <c:v>12</c:v>
                </c:pt>
                <c:pt idx="106">
                  <c:v>13</c:v>
                </c:pt>
                <c:pt idx="107">
                  <c:v>14</c:v>
                </c:pt>
                <c:pt idx="108">
                  <c:v>15</c:v>
                </c:pt>
                <c:pt idx="109">
                  <c:v>16</c:v>
                </c:pt>
                <c:pt idx="110">
                  <c:v>17</c:v>
                </c:pt>
                <c:pt idx="111">
                  <c:v>18</c:v>
                </c:pt>
                <c:pt idx="112">
                  <c:v>19</c:v>
                </c:pt>
                <c:pt idx="113">
                  <c:v>20</c:v>
                </c:pt>
                <c:pt idx="114">
                  <c:v>21</c:v>
                </c:pt>
                <c:pt idx="115">
                  <c:v>22</c:v>
                </c:pt>
                <c:pt idx="116">
                  <c:v>23</c:v>
                </c:pt>
                <c:pt idx="117">
                  <c:v>24</c:v>
                </c:pt>
                <c:pt idx="118">
                  <c:v>25</c:v>
                </c:pt>
                <c:pt idx="119">
                  <c:v>26</c:v>
                </c:pt>
                <c:pt idx="120">
                  <c:v>27</c:v>
                </c:pt>
                <c:pt idx="121">
                  <c:v>28</c:v>
                </c:pt>
                <c:pt idx="122">
                  <c:v>29</c:v>
                </c:pt>
                <c:pt idx="123">
                  <c:v>30</c:v>
                </c:pt>
                <c:pt idx="124">
                  <c:v>31</c:v>
                </c:pt>
                <c:pt idx="125">
                  <c:v>32</c:v>
                </c:pt>
                <c:pt idx="126">
                  <c:v>33</c:v>
                </c:pt>
                <c:pt idx="127">
                  <c:v>34</c:v>
                </c:pt>
                <c:pt idx="128">
                  <c:v>35</c:v>
                </c:pt>
                <c:pt idx="129">
                  <c:v>36</c:v>
                </c:pt>
                <c:pt idx="130">
                  <c:v>37</c:v>
                </c:pt>
                <c:pt idx="131">
                  <c:v>38</c:v>
                </c:pt>
                <c:pt idx="132">
                  <c:v>39</c:v>
                </c:pt>
                <c:pt idx="133">
                  <c:v>40</c:v>
                </c:pt>
                <c:pt idx="134">
                  <c:v>41</c:v>
                </c:pt>
                <c:pt idx="135">
                  <c:v>42</c:v>
                </c:pt>
                <c:pt idx="136">
                  <c:v>43</c:v>
                </c:pt>
                <c:pt idx="137">
                  <c:v>44</c:v>
                </c:pt>
                <c:pt idx="138">
                  <c:v>45</c:v>
                </c:pt>
                <c:pt idx="139">
                  <c:v>46</c:v>
                </c:pt>
                <c:pt idx="140">
                  <c:v>47</c:v>
                </c:pt>
                <c:pt idx="141">
                  <c:v>48</c:v>
                </c:pt>
                <c:pt idx="142">
                  <c:v>49</c:v>
                </c:pt>
                <c:pt idx="143">
                  <c:v>50</c:v>
                </c:pt>
                <c:pt idx="144">
                  <c:v>51</c:v>
                </c:pt>
                <c:pt idx="145">
                  <c:v>52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56</c:v>
                </c:pt>
                <c:pt idx="150">
                  <c:v>57</c:v>
                </c:pt>
                <c:pt idx="151">
                  <c:v>58</c:v>
                </c:pt>
                <c:pt idx="152">
                  <c:v>59</c:v>
                </c:pt>
                <c:pt idx="153">
                  <c:v>60</c:v>
                </c:pt>
                <c:pt idx="154">
                  <c:v>61</c:v>
                </c:pt>
                <c:pt idx="155">
                  <c:v>62</c:v>
                </c:pt>
                <c:pt idx="156">
                  <c:v>63</c:v>
                </c:pt>
                <c:pt idx="157">
                  <c:v>64</c:v>
                </c:pt>
                <c:pt idx="158">
                  <c:v>65</c:v>
                </c:pt>
                <c:pt idx="159">
                  <c:v>66</c:v>
                </c:pt>
                <c:pt idx="160">
                  <c:v>67</c:v>
                </c:pt>
                <c:pt idx="161">
                  <c:v>68</c:v>
                </c:pt>
                <c:pt idx="162">
                  <c:v>69</c:v>
                </c:pt>
                <c:pt idx="163">
                  <c:v>70</c:v>
                </c:pt>
                <c:pt idx="164">
                  <c:v>71</c:v>
                </c:pt>
                <c:pt idx="165">
                  <c:v>72</c:v>
                </c:pt>
                <c:pt idx="166">
                  <c:v>73</c:v>
                </c:pt>
                <c:pt idx="167">
                  <c:v>74</c:v>
                </c:pt>
                <c:pt idx="168">
                  <c:v>75</c:v>
                </c:pt>
                <c:pt idx="169">
                  <c:v>76</c:v>
                </c:pt>
                <c:pt idx="170">
                  <c:v>77</c:v>
                </c:pt>
                <c:pt idx="171">
                  <c:v>78</c:v>
                </c:pt>
                <c:pt idx="172">
                  <c:v>79</c:v>
                </c:pt>
                <c:pt idx="173">
                  <c:v>80</c:v>
                </c:pt>
                <c:pt idx="174">
                  <c:v>81</c:v>
                </c:pt>
                <c:pt idx="175">
                  <c:v>82</c:v>
                </c:pt>
                <c:pt idx="176">
                  <c:v>83</c:v>
                </c:pt>
                <c:pt idx="177">
                  <c:v>84</c:v>
                </c:pt>
                <c:pt idx="178">
                  <c:v>85</c:v>
                </c:pt>
                <c:pt idx="179">
                  <c:v>86</c:v>
                </c:pt>
                <c:pt idx="180">
                  <c:v>87</c:v>
                </c:pt>
                <c:pt idx="181">
                  <c:v>88</c:v>
                </c:pt>
                <c:pt idx="182">
                  <c:v>89</c:v>
                </c:pt>
                <c:pt idx="183">
                  <c:v>90</c:v>
                </c:pt>
              </c:numCache>
            </c:numRef>
          </c:xVal>
          <c:yVal>
            <c:numRef>
              <c:f>cosn!$J$4:$J$187</c:f>
              <c:numCache>
                <c:formatCode>0.00</c:formatCode>
                <c:ptCount val="184"/>
                <c:pt idx="0">
                  <c:v>6.1257422745431001E-17</c:v>
                </c:pt>
                <c:pt idx="1">
                  <c:v>1.7452406437283376E-2</c:v>
                </c:pt>
                <c:pt idx="2">
                  <c:v>3.489949670250108E-2</c:v>
                </c:pt>
                <c:pt idx="3">
                  <c:v>5.2335956242943966E-2</c:v>
                </c:pt>
                <c:pt idx="4">
                  <c:v>6.9756473744125455E-2</c:v>
                </c:pt>
                <c:pt idx="5">
                  <c:v>8.7155742747658138E-2</c:v>
                </c:pt>
                <c:pt idx="6">
                  <c:v>0.10452846326765346</c:v>
                </c:pt>
                <c:pt idx="7">
                  <c:v>0.12186934340514749</c:v>
                </c:pt>
                <c:pt idx="8">
                  <c:v>0.13917310096006569</c:v>
                </c:pt>
                <c:pt idx="9">
                  <c:v>0.15643446504023092</c:v>
                </c:pt>
                <c:pt idx="10">
                  <c:v>0.17364817766693041</c:v>
                </c:pt>
                <c:pt idx="11">
                  <c:v>0.19080899537654492</c:v>
                </c:pt>
                <c:pt idx="12">
                  <c:v>0.20791169081775945</c:v>
                </c:pt>
                <c:pt idx="13">
                  <c:v>0.22495105434386492</c:v>
                </c:pt>
                <c:pt idx="14">
                  <c:v>0.2419218955996679</c:v>
                </c:pt>
                <c:pt idx="15">
                  <c:v>0.25881904510252074</c:v>
                </c:pt>
                <c:pt idx="16">
                  <c:v>0.27563735581699916</c:v>
                </c:pt>
                <c:pt idx="17">
                  <c:v>0.29237170472273677</c:v>
                </c:pt>
                <c:pt idx="18">
                  <c:v>0.30901699437494745</c:v>
                </c:pt>
                <c:pt idx="19">
                  <c:v>0.32556815445715676</c:v>
                </c:pt>
                <c:pt idx="20">
                  <c:v>0.34202014332566882</c:v>
                </c:pt>
                <c:pt idx="21">
                  <c:v>0.35836794954530038</c:v>
                </c:pt>
                <c:pt idx="22">
                  <c:v>0.37460659341591196</c:v>
                </c:pt>
                <c:pt idx="23">
                  <c:v>0.39073112848927394</c:v>
                </c:pt>
                <c:pt idx="24">
                  <c:v>0.40673664307580021</c:v>
                </c:pt>
                <c:pt idx="25">
                  <c:v>0.42261826174069944</c:v>
                </c:pt>
                <c:pt idx="26">
                  <c:v>0.43837114678907746</c:v>
                </c:pt>
                <c:pt idx="27">
                  <c:v>0.4539904997395468</c:v>
                </c:pt>
                <c:pt idx="28">
                  <c:v>0.46947156278589086</c:v>
                </c:pt>
                <c:pt idx="29">
                  <c:v>0.48480962024633711</c:v>
                </c:pt>
                <c:pt idx="30">
                  <c:v>0.50000000000000011</c:v>
                </c:pt>
                <c:pt idx="31">
                  <c:v>0.51503807491005438</c:v>
                </c:pt>
                <c:pt idx="32">
                  <c:v>0.5299192642332049</c:v>
                </c:pt>
                <c:pt idx="33">
                  <c:v>0.5446390350150272</c:v>
                </c:pt>
                <c:pt idx="34">
                  <c:v>0.55919290347074679</c:v>
                </c:pt>
                <c:pt idx="35">
                  <c:v>0.57357643635104616</c:v>
                </c:pt>
                <c:pt idx="39">
                  <c:v>0.58778525229247314</c:v>
                </c:pt>
                <c:pt idx="40">
                  <c:v>0.60181502315204838</c:v>
                </c:pt>
                <c:pt idx="41">
                  <c:v>0.61566147532565829</c:v>
                </c:pt>
                <c:pt idx="42">
                  <c:v>0.6293203910498375</c:v>
                </c:pt>
                <c:pt idx="43">
                  <c:v>0.64278760968653936</c:v>
                </c:pt>
                <c:pt idx="44">
                  <c:v>0.65605902899050728</c:v>
                </c:pt>
                <c:pt idx="45">
                  <c:v>0.66913060635885824</c:v>
                </c:pt>
                <c:pt idx="46">
                  <c:v>0.68199836006249848</c:v>
                </c:pt>
                <c:pt idx="47">
                  <c:v>0.69465837045899737</c:v>
                </c:pt>
                <c:pt idx="48">
                  <c:v>0.70710678118654757</c:v>
                </c:pt>
                <c:pt idx="49">
                  <c:v>0.71933980033865119</c:v>
                </c:pt>
                <c:pt idx="50">
                  <c:v>0.73135370161917057</c:v>
                </c:pt>
                <c:pt idx="51">
                  <c:v>0.74314482547739424</c:v>
                </c:pt>
                <c:pt idx="52">
                  <c:v>0.75470958022277213</c:v>
                </c:pt>
                <c:pt idx="53">
                  <c:v>0.76604444311897801</c:v>
                </c:pt>
                <c:pt idx="54">
                  <c:v>0.7771459614569709</c:v>
                </c:pt>
                <c:pt idx="55">
                  <c:v>0.78801075360672201</c:v>
                </c:pt>
                <c:pt idx="56">
                  <c:v>0.79863551004729283</c:v>
                </c:pt>
                <c:pt idx="57">
                  <c:v>0.80901699437494745</c:v>
                </c:pt>
                <c:pt idx="58">
                  <c:v>0.8191520442889918</c:v>
                </c:pt>
                <c:pt idx="59">
                  <c:v>0.82903757255504162</c:v>
                </c:pt>
                <c:pt idx="60">
                  <c:v>0.83867056794542405</c:v>
                </c:pt>
                <c:pt idx="61">
                  <c:v>0.84804809615642596</c:v>
                </c:pt>
                <c:pt idx="62">
                  <c:v>0.85716730070211233</c:v>
                </c:pt>
                <c:pt idx="63">
                  <c:v>0.86602540378443871</c:v>
                </c:pt>
                <c:pt idx="64">
                  <c:v>0.87461970713939574</c:v>
                </c:pt>
                <c:pt idx="65">
                  <c:v>0.88294759285892699</c:v>
                </c:pt>
                <c:pt idx="66">
                  <c:v>0.8910065241883679</c:v>
                </c:pt>
                <c:pt idx="67">
                  <c:v>0.89879404629916704</c:v>
                </c:pt>
                <c:pt idx="68">
                  <c:v>0.90630778703664994</c:v>
                </c:pt>
                <c:pt idx="69">
                  <c:v>0.91354545764260087</c:v>
                </c:pt>
                <c:pt idx="70">
                  <c:v>0.92050485345244037</c:v>
                </c:pt>
                <c:pt idx="71">
                  <c:v>0.92718385456678742</c:v>
                </c:pt>
                <c:pt idx="72">
                  <c:v>0.93358042649720174</c:v>
                </c:pt>
                <c:pt idx="73">
                  <c:v>0.93969262078590843</c:v>
                </c:pt>
                <c:pt idx="74">
                  <c:v>0.94551857559931685</c:v>
                </c:pt>
                <c:pt idx="75">
                  <c:v>0.95105651629515353</c:v>
                </c:pt>
                <c:pt idx="76">
                  <c:v>0.95630475596303544</c:v>
                </c:pt>
                <c:pt idx="77">
                  <c:v>0.96126169593831889</c:v>
                </c:pt>
                <c:pt idx="78">
                  <c:v>0.96592582628906831</c:v>
                </c:pt>
                <c:pt idx="79">
                  <c:v>0.97029572627599647</c:v>
                </c:pt>
                <c:pt idx="80">
                  <c:v>0.97437006478523525</c:v>
                </c:pt>
                <c:pt idx="81">
                  <c:v>0.97814760073380569</c:v>
                </c:pt>
                <c:pt idx="82">
                  <c:v>0.98162718344766398</c:v>
                </c:pt>
                <c:pt idx="83">
                  <c:v>0.98480775301220802</c:v>
                </c:pt>
                <c:pt idx="84">
                  <c:v>0.98768834059513777</c:v>
                </c:pt>
                <c:pt idx="85">
                  <c:v>0.99026806874157036</c:v>
                </c:pt>
                <c:pt idx="86">
                  <c:v>0.99254615164132198</c:v>
                </c:pt>
                <c:pt idx="87">
                  <c:v>0.99452189536827329</c:v>
                </c:pt>
                <c:pt idx="88">
                  <c:v>0.99619469809174555</c:v>
                </c:pt>
                <c:pt idx="89">
                  <c:v>0.9975640502598242</c:v>
                </c:pt>
                <c:pt idx="90">
                  <c:v>0.99862953475457383</c:v>
                </c:pt>
                <c:pt idx="91">
                  <c:v>0.99939082701909576</c:v>
                </c:pt>
                <c:pt idx="92">
                  <c:v>0.99984769515639127</c:v>
                </c:pt>
                <c:pt idx="93">
                  <c:v>1</c:v>
                </c:pt>
                <c:pt idx="94">
                  <c:v>0.99984769515639127</c:v>
                </c:pt>
                <c:pt idx="95">
                  <c:v>0.99939082701909576</c:v>
                </c:pt>
                <c:pt idx="96">
                  <c:v>0.99862953475457383</c:v>
                </c:pt>
                <c:pt idx="97">
                  <c:v>0.9975640502598242</c:v>
                </c:pt>
                <c:pt idx="98">
                  <c:v>0.99619469809174555</c:v>
                </c:pt>
                <c:pt idx="99">
                  <c:v>0.99452189536827329</c:v>
                </c:pt>
                <c:pt idx="100">
                  <c:v>0.99254615164132198</c:v>
                </c:pt>
                <c:pt idx="101">
                  <c:v>0.99026806874157036</c:v>
                </c:pt>
                <c:pt idx="102">
                  <c:v>0.98768834059513777</c:v>
                </c:pt>
                <c:pt idx="103">
                  <c:v>0.98480775301220802</c:v>
                </c:pt>
                <c:pt idx="104">
                  <c:v>0.98162718344766398</c:v>
                </c:pt>
                <c:pt idx="105">
                  <c:v>0.97814760073380569</c:v>
                </c:pt>
                <c:pt idx="106">
                  <c:v>0.97437006478523525</c:v>
                </c:pt>
                <c:pt idx="107">
                  <c:v>0.97029572627599647</c:v>
                </c:pt>
                <c:pt idx="108">
                  <c:v>0.96592582628906831</c:v>
                </c:pt>
                <c:pt idx="109">
                  <c:v>0.96126169593831889</c:v>
                </c:pt>
                <c:pt idx="110">
                  <c:v>0.95630475596303544</c:v>
                </c:pt>
                <c:pt idx="111">
                  <c:v>0.95105651629515353</c:v>
                </c:pt>
                <c:pt idx="112">
                  <c:v>0.94551857559931685</c:v>
                </c:pt>
                <c:pt idx="113">
                  <c:v>0.93969262078590843</c:v>
                </c:pt>
                <c:pt idx="114">
                  <c:v>0.93358042649720174</c:v>
                </c:pt>
                <c:pt idx="115">
                  <c:v>0.92718385456678742</c:v>
                </c:pt>
                <c:pt idx="116">
                  <c:v>0.92050485345244037</c:v>
                </c:pt>
                <c:pt idx="117">
                  <c:v>0.91354545764260087</c:v>
                </c:pt>
                <c:pt idx="118">
                  <c:v>0.90630778703664994</c:v>
                </c:pt>
                <c:pt idx="119">
                  <c:v>0.89879404629916704</c:v>
                </c:pt>
                <c:pt idx="120">
                  <c:v>0.8910065241883679</c:v>
                </c:pt>
                <c:pt idx="121">
                  <c:v>0.88294759285892699</c:v>
                </c:pt>
                <c:pt idx="122">
                  <c:v>0.87461970713939574</c:v>
                </c:pt>
                <c:pt idx="123">
                  <c:v>0.86602540378443871</c:v>
                </c:pt>
                <c:pt idx="124">
                  <c:v>0.85716730070211233</c:v>
                </c:pt>
                <c:pt idx="125">
                  <c:v>0.84804809615642596</c:v>
                </c:pt>
                <c:pt idx="126">
                  <c:v>0.83867056794542405</c:v>
                </c:pt>
                <c:pt idx="127">
                  <c:v>0.82903757255504162</c:v>
                </c:pt>
                <c:pt idx="128">
                  <c:v>0.8191520442889918</c:v>
                </c:pt>
                <c:pt idx="129">
                  <c:v>0.80901699437494745</c:v>
                </c:pt>
                <c:pt idx="130">
                  <c:v>0.79863551004729283</c:v>
                </c:pt>
                <c:pt idx="131">
                  <c:v>0.78801075360672201</c:v>
                </c:pt>
                <c:pt idx="132">
                  <c:v>0.7771459614569709</c:v>
                </c:pt>
                <c:pt idx="133">
                  <c:v>0.76604444311897801</c:v>
                </c:pt>
                <c:pt idx="134">
                  <c:v>0.75470958022277213</c:v>
                </c:pt>
                <c:pt idx="135">
                  <c:v>0.74314482547739424</c:v>
                </c:pt>
                <c:pt idx="136">
                  <c:v>0.73135370161917057</c:v>
                </c:pt>
                <c:pt idx="137">
                  <c:v>0.71933980033865119</c:v>
                </c:pt>
                <c:pt idx="138">
                  <c:v>0.70710678118654757</c:v>
                </c:pt>
                <c:pt idx="139">
                  <c:v>0.69465837045899737</c:v>
                </c:pt>
                <c:pt idx="140">
                  <c:v>0.68199836006249848</c:v>
                </c:pt>
                <c:pt idx="141">
                  <c:v>0.66913060635885824</c:v>
                </c:pt>
                <c:pt idx="142">
                  <c:v>0.65605902899050728</c:v>
                </c:pt>
                <c:pt idx="143">
                  <c:v>0.64278760968653936</c:v>
                </c:pt>
                <c:pt idx="144">
                  <c:v>0.6293203910498375</c:v>
                </c:pt>
                <c:pt idx="145">
                  <c:v>0.61566147532565829</c:v>
                </c:pt>
                <c:pt idx="146">
                  <c:v>0.60181502315204838</c:v>
                </c:pt>
                <c:pt idx="147">
                  <c:v>0.58778525229247314</c:v>
                </c:pt>
                <c:pt idx="148">
                  <c:v>0.57357643635104616</c:v>
                </c:pt>
                <c:pt idx="149">
                  <c:v>0.55919290347074679</c:v>
                </c:pt>
                <c:pt idx="150">
                  <c:v>0.5446390350150272</c:v>
                </c:pt>
                <c:pt idx="151">
                  <c:v>0.5299192642332049</c:v>
                </c:pt>
                <c:pt idx="152">
                  <c:v>0.51503807491005438</c:v>
                </c:pt>
                <c:pt idx="153">
                  <c:v>0.50000000000000011</c:v>
                </c:pt>
                <c:pt idx="154">
                  <c:v>0.48480962024633711</c:v>
                </c:pt>
                <c:pt idx="155">
                  <c:v>0.46947156278589086</c:v>
                </c:pt>
                <c:pt idx="156">
                  <c:v>0.4539904997395468</c:v>
                </c:pt>
                <c:pt idx="157">
                  <c:v>0.43837114678907746</c:v>
                </c:pt>
                <c:pt idx="158">
                  <c:v>0.42261826174069944</c:v>
                </c:pt>
                <c:pt idx="159">
                  <c:v>0.40673664307580021</c:v>
                </c:pt>
                <c:pt idx="160">
                  <c:v>0.39073112848927394</c:v>
                </c:pt>
                <c:pt idx="161">
                  <c:v>0.37460659341591196</c:v>
                </c:pt>
                <c:pt idx="162">
                  <c:v>0.35836794954530038</c:v>
                </c:pt>
                <c:pt idx="163">
                  <c:v>0.34202014332566882</c:v>
                </c:pt>
                <c:pt idx="164">
                  <c:v>0.32556815445715676</c:v>
                </c:pt>
                <c:pt idx="165">
                  <c:v>0.30901699437494745</c:v>
                </c:pt>
                <c:pt idx="166">
                  <c:v>0.29237170472273677</c:v>
                </c:pt>
                <c:pt idx="167">
                  <c:v>0.27563735581699916</c:v>
                </c:pt>
                <c:pt idx="168">
                  <c:v>0.25881904510252074</c:v>
                </c:pt>
                <c:pt idx="169">
                  <c:v>0.2419218955996679</c:v>
                </c:pt>
                <c:pt idx="170">
                  <c:v>0.22495105434386492</c:v>
                </c:pt>
                <c:pt idx="171">
                  <c:v>0.20791169081775945</c:v>
                </c:pt>
                <c:pt idx="172">
                  <c:v>0.19080899537654492</c:v>
                </c:pt>
                <c:pt idx="173">
                  <c:v>0.17364817766693041</c:v>
                </c:pt>
                <c:pt idx="174">
                  <c:v>0.15643446504023092</c:v>
                </c:pt>
                <c:pt idx="175">
                  <c:v>0.13917310096006569</c:v>
                </c:pt>
                <c:pt idx="176">
                  <c:v>0.12186934340514749</c:v>
                </c:pt>
                <c:pt idx="177">
                  <c:v>0.10452846326765346</c:v>
                </c:pt>
                <c:pt idx="178">
                  <c:v>8.7155742747658138E-2</c:v>
                </c:pt>
                <c:pt idx="179">
                  <c:v>6.9756473744125455E-2</c:v>
                </c:pt>
                <c:pt idx="180">
                  <c:v>5.2335956242943966E-2</c:v>
                </c:pt>
                <c:pt idx="181">
                  <c:v>3.489949670250108E-2</c:v>
                </c:pt>
                <c:pt idx="182">
                  <c:v>1.7452406437283376E-2</c:v>
                </c:pt>
                <c:pt idx="183">
                  <c:v>6.1257422745431001E-17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65-4D37-8734-89B63333DE33}"/>
            </c:ext>
          </c:extLst>
        </c:ser>
        <c:ser>
          <c:idx val="2"/>
          <c:order val="2"/>
          <c:tx>
            <c:strRef>
              <c:f>cosn!$K$3</c:f>
              <c:strCache>
                <c:ptCount val="1"/>
                <c:pt idx="0">
                  <c:v>FWHM 16.0°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cosn!$I$4:$I$187</c:f>
              <c:numCache>
                <c:formatCode>General</c:formatCode>
                <c:ptCount val="184"/>
                <c:pt idx="0">
                  <c:v>-90</c:v>
                </c:pt>
                <c:pt idx="1">
                  <c:v>-89</c:v>
                </c:pt>
                <c:pt idx="2">
                  <c:v>-88</c:v>
                </c:pt>
                <c:pt idx="3">
                  <c:v>-87</c:v>
                </c:pt>
                <c:pt idx="4">
                  <c:v>-86</c:v>
                </c:pt>
                <c:pt idx="5">
                  <c:v>-85</c:v>
                </c:pt>
                <c:pt idx="6">
                  <c:v>-84</c:v>
                </c:pt>
                <c:pt idx="7">
                  <c:v>-83</c:v>
                </c:pt>
                <c:pt idx="8">
                  <c:v>-82</c:v>
                </c:pt>
                <c:pt idx="9">
                  <c:v>-81</c:v>
                </c:pt>
                <c:pt idx="10">
                  <c:v>-80</c:v>
                </c:pt>
                <c:pt idx="11">
                  <c:v>-79</c:v>
                </c:pt>
                <c:pt idx="12">
                  <c:v>-78</c:v>
                </c:pt>
                <c:pt idx="13">
                  <c:v>-77</c:v>
                </c:pt>
                <c:pt idx="14">
                  <c:v>-76</c:v>
                </c:pt>
                <c:pt idx="15">
                  <c:v>-75</c:v>
                </c:pt>
                <c:pt idx="16">
                  <c:v>-74</c:v>
                </c:pt>
                <c:pt idx="17">
                  <c:v>-73</c:v>
                </c:pt>
                <c:pt idx="18">
                  <c:v>-72</c:v>
                </c:pt>
                <c:pt idx="19">
                  <c:v>-71</c:v>
                </c:pt>
                <c:pt idx="20">
                  <c:v>-70</c:v>
                </c:pt>
                <c:pt idx="21">
                  <c:v>-69</c:v>
                </c:pt>
                <c:pt idx="22">
                  <c:v>-68</c:v>
                </c:pt>
                <c:pt idx="23">
                  <c:v>-67</c:v>
                </c:pt>
                <c:pt idx="24">
                  <c:v>-66</c:v>
                </c:pt>
                <c:pt idx="25">
                  <c:v>-65</c:v>
                </c:pt>
                <c:pt idx="26">
                  <c:v>-64</c:v>
                </c:pt>
                <c:pt idx="27">
                  <c:v>-63</c:v>
                </c:pt>
                <c:pt idx="28">
                  <c:v>-62</c:v>
                </c:pt>
                <c:pt idx="29">
                  <c:v>-61</c:v>
                </c:pt>
                <c:pt idx="30">
                  <c:v>-60</c:v>
                </c:pt>
                <c:pt idx="31">
                  <c:v>-59</c:v>
                </c:pt>
                <c:pt idx="32">
                  <c:v>-58</c:v>
                </c:pt>
                <c:pt idx="33">
                  <c:v>-57</c:v>
                </c:pt>
                <c:pt idx="34">
                  <c:v>-56</c:v>
                </c:pt>
                <c:pt idx="35">
                  <c:v>-55</c:v>
                </c:pt>
                <c:pt idx="39">
                  <c:v>-54</c:v>
                </c:pt>
                <c:pt idx="40">
                  <c:v>-53</c:v>
                </c:pt>
                <c:pt idx="41">
                  <c:v>-52</c:v>
                </c:pt>
                <c:pt idx="42">
                  <c:v>-51</c:v>
                </c:pt>
                <c:pt idx="43">
                  <c:v>-50</c:v>
                </c:pt>
                <c:pt idx="44">
                  <c:v>-49</c:v>
                </c:pt>
                <c:pt idx="45">
                  <c:v>-48</c:v>
                </c:pt>
                <c:pt idx="46">
                  <c:v>-47</c:v>
                </c:pt>
                <c:pt idx="47">
                  <c:v>-46</c:v>
                </c:pt>
                <c:pt idx="48">
                  <c:v>-45</c:v>
                </c:pt>
                <c:pt idx="49">
                  <c:v>-44</c:v>
                </c:pt>
                <c:pt idx="50">
                  <c:v>-43</c:v>
                </c:pt>
                <c:pt idx="51">
                  <c:v>-42</c:v>
                </c:pt>
                <c:pt idx="52">
                  <c:v>-41</c:v>
                </c:pt>
                <c:pt idx="53">
                  <c:v>-40</c:v>
                </c:pt>
                <c:pt idx="54">
                  <c:v>-39</c:v>
                </c:pt>
                <c:pt idx="55">
                  <c:v>-38</c:v>
                </c:pt>
                <c:pt idx="56">
                  <c:v>-37</c:v>
                </c:pt>
                <c:pt idx="57">
                  <c:v>-36</c:v>
                </c:pt>
                <c:pt idx="58">
                  <c:v>-35</c:v>
                </c:pt>
                <c:pt idx="59">
                  <c:v>-34</c:v>
                </c:pt>
                <c:pt idx="60">
                  <c:v>-33</c:v>
                </c:pt>
                <c:pt idx="61">
                  <c:v>-32</c:v>
                </c:pt>
                <c:pt idx="62">
                  <c:v>-31</c:v>
                </c:pt>
                <c:pt idx="63">
                  <c:v>-30</c:v>
                </c:pt>
                <c:pt idx="64">
                  <c:v>-29</c:v>
                </c:pt>
                <c:pt idx="65">
                  <c:v>-28</c:v>
                </c:pt>
                <c:pt idx="66">
                  <c:v>-27</c:v>
                </c:pt>
                <c:pt idx="67">
                  <c:v>-26</c:v>
                </c:pt>
                <c:pt idx="68">
                  <c:v>-25</c:v>
                </c:pt>
                <c:pt idx="69">
                  <c:v>-24</c:v>
                </c:pt>
                <c:pt idx="70">
                  <c:v>-23</c:v>
                </c:pt>
                <c:pt idx="71">
                  <c:v>-22</c:v>
                </c:pt>
                <c:pt idx="72">
                  <c:v>-21</c:v>
                </c:pt>
                <c:pt idx="73">
                  <c:v>-20</c:v>
                </c:pt>
                <c:pt idx="74">
                  <c:v>-19</c:v>
                </c:pt>
                <c:pt idx="75">
                  <c:v>-18</c:v>
                </c:pt>
                <c:pt idx="76">
                  <c:v>-17</c:v>
                </c:pt>
                <c:pt idx="77">
                  <c:v>-16</c:v>
                </c:pt>
                <c:pt idx="78">
                  <c:v>-15</c:v>
                </c:pt>
                <c:pt idx="79">
                  <c:v>-14</c:v>
                </c:pt>
                <c:pt idx="80">
                  <c:v>-13</c:v>
                </c:pt>
                <c:pt idx="81">
                  <c:v>-12</c:v>
                </c:pt>
                <c:pt idx="82">
                  <c:v>-11</c:v>
                </c:pt>
                <c:pt idx="83">
                  <c:v>-10</c:v>
                </c:pt>
                <c:pt idx="84">
                  <c:v>-9</c:v>
                </c:pt>
                <c:pt idx="85">
                  <c:v>-8</c:v>
                </c:pt>
                <c:pt idx="86">
                  <c:v>-7</c:v>
                </c:pt>
                <c:pt idx="87">
                  <c:v>-6</c:v>
                </c:pt>
                <c:pt idx="88">
                  <c:v>-5</c:v>
                </c:pt>
                <c:pt idx="89">
                  <c:v>-4</c:v>
                </c:pt>
                <c:pt idx="90">
                  <c:v>-3</c:v>
                </c:pt>
                <c:pt idx="91">
                  <c:v>-2</c:v>
                </c:pt>
                <c:pt idx="92">
                  <c:v>-1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5</c:v>
                </c:pt>
                <c:pt idx="99">
                  <c:v>6</c:v>
                </c:pt>
                <c:pt idx="100">
                  <c:v>7</c:v>
                </c:pt>
                <c:pt idx="101">
                  <c:v>8</c:v>
                </c:pt>
                <c:pt idx="102">
                  <c:v>9</c:v>
                </c:pt>
                <c:pt idx="103">
                  <c:v>10</c:v>
                </c:pt>
                <c:pt idx="104">
                  <c:v>11</c:v>
                </c:pt>
                <c:pt idx="105">
                  <c:v>12</c:v>
                </c:pt>
                <c:pt idx="106">
                  <c:v>13</c:v>
                </c:pt>
                <c:pt idx="107">
                  <c:v>14</c:v>
                </c:pt>
                <c:pt idx="108">
                  <c:v>15</c:v>
                </c:pt>
                <c:pt idx="109">
                  <c:v>16</c:v>
                </c:pt>
                <c:pt idx="110">
                  <c:v>17</c:v>
                </c:pt>
                <c:pt idx="111">
                  <c:v>18</c:v>
                </c:pt>
                <c:pt idx="112">
                  <c:v>19</c:v>
                </c:pt>
                <c:pt idx="113">
                  <c:v>20</c:v>
                </c:pt>
                <c:pt idx="114">
                  <c:v>21</c:v>
                </c:pt>
                <c:pt idx="115">
                  <c:v>22</c:v>
                </c:pt>
                <c:pt idx="116">
                  <c:v>23</c:v>
                </c:pt>
                <c:pt idx="117">
                  <c:v>24</c:v>
                </c:pt>
                <c:pt idx="118">
                  <c:v>25</c:v>
                </c:pt>
                <c:pt idx="119">
                  <c:v>26</c:v>
                </c:pt>
                <c:pt idx="120">
                  <c:v>27</c:v>
                </c:pt>
                <c:pt idx="121">
                  <c:v>28</c:v>
                </c:pt>
                <c:pt idx="122">
                  <c:v>29</c:v>
                </c:pt>
                <c:pt idx="123">
                  <c:v>30</c:v>
                </c:pt>
                <c:pt idx="124">
                  <c:v>31</c:v>
                </c:pt>
                <c:pt idx="125">
                  <c:v>32</c:v>
                </c:pt>
                <c:pt idx="126">
                  <c:v>33</c:v>
                </c:pt>
                <c:pt idx="127">
                  <c:v>34</c:v>
                </c:pt>
                <c:pt idx="128">
                  <c:v>35</c:v>
                </c:pt>
                <c:pt idx="129">
                  <c:v>36</c:v>
                </c:pt>
                <c:pt idx="130">
                  <c:v>37</c:v>
                </c:pt>
                <c:pt idx="131">
                  <c:v>38</c:v>
                </c:pt>
                <c:pt idx="132">
                  <c:v>39</c:v>
                </c:pt>
                <c:pt idx="133">
                  <c:v>40</c:v>
                </c:pt>
                <c:pt idx="134">
                  <c:v>41</c:v>
                </c:pt>
                <c:pt idx="135">
                  <c:v>42</c:v>
                </c:pt>
                <c:pt idx="136">
                  <c:v>43</c:v>
                </c:pt>
                <c:pt idx="137">
                  <c:v>44</c:v>
                </c:pt>
                <c:pt idx="138">
                  <c:v>45</c:v>
                </c:pt>
                <c:pt idx="139">
                  <c:v>46</c:v>
                </c:pt>
                <c:pt idx="140">
                  <c:v>47</c:v>
                </c:pt>
                <c:pt idx="141">
                  <c:v>48</c:v>
                </c:pt>
                <c:pt idx="142">
                  <c:v>49</c:v>
                </c:pt>
                <c:pt idx="143">
                  <c:v>50</c:v>
                </c:pt>
                <c:pt idx="144">
                  <c:v>51</c:v>
                </c:pt>
                <c:pt idx="145">
                  <c:v>52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56</c:v>
                </c:pt>
                <c:pt idx="150">
                  <c:v>57</c:v>
                </c:pt>
                <c:pt idx="151">
                  <c:v>58</c:v>
                </c:pt>
                <c:pt idx="152">
                  <c:v>59</c:v>
                </c:pt>
                <c:pt idx="153">
                  <c:v>60</c:v>
                </c:pt>
                <c:pt idx="154">
                  <c:v>61</c:v>
                </c:pt>
                <c:pt idx="155">
                  <c:v>62</c:v>
                </c:pt>
                <c:pt idx="156">
                  <c:v>63</c:v>
                </c:pt>
                <c:pt idx="157">
                  <c:v>64</c:v>
                </c:pt>
                <c:pt idx="158">
                  <c:v>65</c:v>
                </c:pt>
                <c:pt idx="159">
                  <c:v>66</c:v>
                </c:pt>
                <c:pt idx="160">
                  <c:v>67</c:v>
                </c:pt>
                <c:pt idx="161">
                  <c:v>68</c:v>
                </c:pt>
                <c:pt idx="162">
                  <c:v>69</c:v>
                </c:pt>
                <c:pt idx="163">
                  <c:v>70</c:v>
                </c:pt>
                <c:pt idx="164">
                  <c:v>71</c:v>
                </c:pt>
                <c:pt idx="165">
                  <c:v>72</c:v>
                </c:pt>
                <c:pt idx="166">
                  <c:v>73</c:v>
                </c:pt>
                <c:pt idx="167">
                  <c:v>74</c:v>
                </c:pt>
                <c:pt idx="168">
                  <c:v>75</c:v>
                </c:pt>
                <c:pt idx="169">
                  <c:v>76</c:v>
                </c:pt>
                <c:pt idx="170">
                  <c:v>77</c:v>
                </c:pt>
                <c:pt idx="171">
                  <c:v>78</c:v>
                </c:pt>
                <c:pt idx="172">
                  <c:v>79</c:v>
                </c:pt>
                <c:pt idx="173">
                  <c:v>80</c:v>
                </c:pt>
                <c:pt idx="174">
                  <c:v>81</c:v>
                </c:pt>
                <c:pt idx="175">
                  <c:v>82</c:v>
                </c:pt>
                <c:pt idx="176">
                  <c:v>83</c:v>
                </c:pt>
                <c:pt idx="177">
                  <c:v>84</c:v>
                </c:pt>
                <c:pt idx="178">
                  <c:v>85</c:v>
                </c:pt>
                <c:pt idx="179">
                  <c:v>86</c:v>
                </c:pt>
                <c:pt idx="180">
                  <c:v>87</c:v>
                </c:pt>
                <c:pt idx="181">
                  <c:v>88</c:v>
                </c:pt>
                <c:pt idx="182">
                  <c:v>89</c:v>
                </c:pt>
                <c:pt idx="183">
                  <c:v>90</c:v>
                </c:pt>
              </c:numCache>
            </c:numRef>
          </c:xVal>
          <c:yVal>
            <c:numRef>
              <c:f>cosn!$K$4:$K$187</c:f>
              <c:numCache>
                <c:formatCode>0.00</c:formatCode>
                <c:ptCount val="184"/>
                <c:pt idx="0">
                  <c:v>0</c:v>
                </c:pt>
                <c:pt idx="1">
                  <c:v>2.4445743601939591E-125</c:v>
                </c:pt>
                <c:pt idx="2">
                  <c:v>5.2429945828898957E-104</c:v>
                </c:pt>
                <c:pt idx="3">
                  <c:v>1.5579816002341329E-91</c:v>
                </c:pt>
                <c:pt idx="4">
                  <c:v>1.0886471808131194E-82</c:v>
                </c:pt>
                <c:pt idx="5">
                  <c:v>7.7892403486357351E-76</c:v>
                </c:pt>
                <c:pt idx="6">
                  <c:v>3.0648779189638164E-70</c:v>
                </c:pt>
                <c:pt idx="7">
                  <c:v>1.6257689559823468E-65</c:v>
                </c:pt>
                <c:pt idx="8">
                  <c:v>1.9855385563197709E-61</c:v>
                </c:pt>
                <c:pt idx="9">
                  <c:v>7.8850240872812441E-58</c:v>
                </c:pt>
                <c:pt idx="10">
                  <c:v>1.2888539247859851E-54</c:v>
                </c:pt>
                <c:pt idx="11">
                  <c:v>1.0258785005006591E-51</c:v>
                </c:pt>
                <c:pt idx="12">
                  <c:v>4.5018432797075267E-49</c:v>
                </c:pt>
                <c:pt idx="13">
                  <c:v>1.1968122081335141E-46</c:v>
                </c:pt>
                <c:pt idx="14">
                  <c:v>2.074072704508442E-44</c:v>
                </c:pt>
                <c:pt idx="15">
                  <c:v>2.4831821166632991E-42</c:v>
                </c:pt>
                <c:pt idx="16">
                  <c:v>2.1523505442775582E-40</c:v>
                </c:pt>
                <c:pt idx="17">
                  <c:v>1.4033535227315424E-38</c:v>
                </c:pt>
                <c:pt idx="18">
                  <c:v>7.1046870909461545E-37</c:v>
                </c:pt>
                <c:pt idx="19">
                  <c:v>2.8680270855202653E-35</c:v>
                </c:pt>
                <c:pt idx="20">
                  <c:v>9.4414908712928083E-34</c:v>
                </c:pt>
                <c:pt idx="21">
                  <c:v>2.5837158273306758E-32</c:v>
                </c:pt>
                <c:pt idx="22">
                  <c:v>5.9752919472960749E-31</c:v>
                </c:pt>
                <c:pt idx="23">
                  <c:v>1.1846492814285038E-29</c:v>
                </c:pt>
                <c:pt idx="24">
                  <c:v>2.0386773714315746E-28</c:v>
                </c:pt>
                <c:pt idx="25">
                  <c:v>3.0788065817813101E-27</c:v>
                </c:pt>
                <c:pt idx="26">
                  <c:v>4.1198206324568006E-26</c:v>
                </c:pt>
                <c:pt idx="27">
                  <c:v>4.9265990366534905E-25</c:v>
                </c:pt>
                <c:pt idx="28">
                  <c:v>5.3050994094741039E-24</c:v>
                </c:pt>
                <c:pt idx="29">
                  <c:v>5.1793115795918545E-23</c:v>
                </c:pt>
                <c:pt idx="30">
                  <c:v>4.6124888011352357E-22</c:v>
                </c:pt>
                <c:pt idx="31">
                  <c:v>3.7676739327806769E-21</c:v>
                </c:pt>
                <c:pt idx="32">
                  <c:v>2.8369166203881151E-20</c:v>
                </c:pt>
                <c:pt idx="33">
                  <c:v>1.9779463464769173E-19</c:v>
                </c:pt>
                <c:pt idx="34">
                  <c:v>1.2822104113234797E-18</c:v>
                </c:pt>
                <c:pt idx="35">
                  <c:v>7.7572252501993409E-18</c:v>
                </c:pt>
                <c:pt idx="39">
                  <c:v>4.3948306122125396E-17</c:v>
                </c:pt>
                <c:pt idx="40">
                  <c:v>2.3389928393251342E-16</c:v>
                </c:pt>
                <c:pt idx="41">
                  <c:v>1.172784576672525E-15</c:v>
                </c:pt>
                <c:pt idx="42">
                  <c:v>5.5547235495362182E-15</c:v>
                </c:pt>
                <c:pt idx="43">
                  <c:v>2.4912906858788226E-14</c:v>
                </c:pt>
                <c:pt idx="44">
                  <c:v>1.0604407868919944E-13</c:v>
                </c:pt>
                <c:pt idx="45">
                  <c:v>4.2929707888527282E-13</c:v>
                </c:pt>
                <c:pt idx="46">
                  <c:v>1.6560836445449307E-12</c:v>
                </c:pt>
                <c:pt idx="47">
                  <c:v>6.0987759338418334E-12</c:v>
                </c:pt>
                <c:pt idx="48">
                  <c:v>2.1476705522810528E-11</c:v>
                </c:pt>
                <c:pt idx="49">
                  <c:v>7.2432873549647532E-11</c:v>
                </c:pt>
                <c:pt idx="50">
                  <c:v>2.3430391966216697E-10</c:v>
                </c:pt>
                <c:pt idx="51">
                  <c:v>7.2793048550301895E-10</c:v>
                </c:pt>
                <c:pt idx="52">
                  <c:v>2.1747979039233984E-9</c:v>
                </c:pt>
                <c:pt idx="53">
                  <c:v>6.2558038685430222E-9</c:v>
                </c:pt>
                <c:pt idx="54">
                  <c:v>1.7344681535928216E-8</c:v>
                </c:pt>
                <c:pt idx="55">
                  <c:v>4.6400424502856311E-8</c:v>
                </c:pt>
                <c:pt idx="56">
                  <c:v>1.1988789210395961E-7</c:v>
                </c:pt>
                <c:pt idx="57">
                  <c:v>2.9945094932764976E-7</c:v>
                </c:pt>
                <c:pt idx="58">
                  <c:v>7.2368250513669133E-7</c:v>
                </c:pt>
                <c:pt idx="59">
                  <c:v>1.6935378171519319E-6</c:v>
                </c:pt>
                <c:pt idx="60">
                  <c:v>3.8405864742792049E-6</c:v>
                </c:pt>
                <c:pt idx="61">
                  <c:v>8.4463237360723854E-6</c:v>
                </c:pt>
                <c:pt idx="62">
                  <c:v>1.8025972811456483E-5</c:v>
                </c:pt>
                <c:pt idx="63">
                  <c:v>3.7356530686863316E-5</c:v>
                </c:pt>
                <c:pt idx="64">
                  <c:v>7.5219598289675234E-5</c:v>
                </c:pt>
                <c:pt idx="65">
                  <c:v>1.4724369164435084E-4</c:v>
                </c:pt>
                <c:pt idx="66">
                  <c:v>2.8035854754709195E-4</c:v>
                </c:pt>
                <c:pt idx="67">
                  <c:v>5.1949212716019468E-4</c:v>
                </c:pt>
                <c:pt idx="68">
                  <c:v>9.3720812007158075E-4</c:v>
                </c:pt>
                <c:pt idx="69">
                  <c:v>1.6469360279551359E-3</c:v>
                </c:pt>
                <c:pt idx="70">
                  <c:v>2.8202086754227488E-3</c:v>
                </c:pt>
                <c:pt idx="71">
                  <c:v>4.7078094164431355E-3</c:v>
                </c:pt>
                <c:pt idx="72">
                  <c:v>7.6638767614166286E-3</c:v>
                </c:pt>
                <c:pt idx="73">
                  <c:v>1.2170800719542664E-2</c:v>
                </c:pt>
                <c:pt idx="74">
                  <c:v>1.8861243512506495E-2</c:v>
                </c:pt>
                <c:pt idx="75">
                  <c:v>2.853201938696024E-2</c:v>
                </c:pt>
                <c:pt idx="76">
                  <c:v>4.2143202458471939E-2</c:v>
                </c:pt>
                <c:pt idx="77">
                  <c:v>6.079514406277442E-2</c:v>
                </c:pt>
                <c:pt idx="78">
                  <c:v>8.5676571194000947E-2</c:v>
                </c:pt>
                <c:pt idx="79">
                  <c:v>0.11797904462036872</c:v>
                </c:pt>
                <c:pt idx="80">
                  <c:v>0.15877701113633599</c:v>
                </c:pt>
                <c:pt idx="81">
                  <c:v>0.20887836294174889</c:v>
                </c:pt>
                <c:pt idx="82">
                  <c:v>0.26865722575302292</c:v>
                </c:pt>
                <c:pt idx="83">
                  <c:v>0.33788756097468126</c:v>
                </c:pt>
                <c:pt idx="84">
                  <c:v>0.41560164280815265</c:v>
                </c:pt>
                <c:pt idx="85">
                  <c:v>0.49999999999999994</c:v>
                </c:pt>
                <c:pt idx="86">
                  <c:v>0.58843767972580707</c:v>
                </c:pt>
                <c:pt idx="87">
                  <c:v>0.67750501850774181</c:v>
                </c:pt>
                <c:pt idx="88">
                  <c:v>0.76320976478986391</c:v>
                </c:pt>
                <c:pt idx="89">
                  <c:v>0.84125275081380402</c:v>
                </c:pt>
                <c:pt idx="90">
                  <c:v>0.90737368630960291</c:v>
                </c:pt>
                <c:pt idx="91">
                  <c:v>0.95772994812448309</c:v>
                </c:pt>
                <c:pt idx="92">
                  <c:v>0.98926235142442132</c:v>
                </c:pt>
                <c:pt idx="93">
                  <c:v>1</c:v>
                </c:pt>
                <c:pt idx="94">
                  <c:v>0.98926235142442132</c:v>
                </c:pt>
                <c:pt idx="95">
                  <c:v>0.95772994812448309</c:v>
                </c:pt>
                <c:pt idx="96">
                  <c:v>0.90737368630960291</c:v>
                </c:pt>
                <c:pt idx="97">
                  <c:v>0.84125275081380402</c:v>
                </c:pt>
                <c:pt idx="98">
                  <c:v>0.76320976478986391</c:v>
                </c:pt>
                <c:pt idx="99">
                  <c:v>0.67750501850774181</c:v>
                </c:pt>
                <c:pt idx="100">
                  <c:v>0.58843767972580707</c:v>
                </c:pt>
                <c:pt idx="101">
                  <c:v>0.49999999999999994</c:v>
                </c:pt>
                <c:pt idx="102">
                  <c:v>0.41560164280815265</c:v>
                </c:pt>
                <c:pt idx="103">
                  <c:v>0.33788756097468126</c:v>
                </c:pt>
                <c:pt idx="104">
                  <c:v>0.26865722575302292</c:v>
                </c:pt>
                <c:pt idx="105">
                  <c:v>0.20887836294174889</c:v>
                </c:pt>
                <c:pt idx="106">
                  <c:v>0.15877701113633599</c:v>
                </c:pt>
                <c:pt idx="107">
                  <c:v>0.11797904462036872</c:v>
                </c:pt>
                <c:pt idx="108">
                  <c:v>8.5676571194000947E-2</c:v>
                </c:pt>
                <c:pt idx="109">
                  <c:v>6.079514406277442E-2</c:v>
                </c:pt>
                <c:pt idx="110">
                  <c:v>4.2143202458471939E-2</c:v>
                </c:pt>
                <c:pt idx="111">
                  <c:v>2.853201938696024E-2</c:v>
                </c:pt>
                <c:pt idx="112">
                  <c:v>1.8861243512506495E-2</c:v>
                </c:pt>
                <c:pt idx="113">
                  <c:v>1.2170800719542664E-2</c:v>
                </c:pt>
                <c:pt idx="114">
                  <c:v>7.6638767614166286E-3</c:v>
                </c:pt>
                <c:pt idx="115">
                  <c:v>4.7078094164431355E-3</c:v>
                </c:pt>
                <c:pt idx="116">
                  <c:v>2.8202086754227488E-3</c:v>
                </c:pt>
                <c:pt idx="117">
                  <c:v>1.6469360279551359E-3</c:v>
                </c:pt>
                <c:pt idx="118">
                  <c:v>9.3720812007158075E-4</c:v>
                </c:pt>
                <c:pt idx="119">
                  <c:v>5.1949212716019468E-4</c:v>
                </c:pt>
                <c:pt idx="120">
                  <c:v>2.8035854754709195E-4</c:v>
                </c:pt>
                <c:pt idx="121">
                  <c:v>1.4724369164435084E-4</c:v>
                </c:pt>
                <c:pt idx="122">
                  <c:v>7.5219598289675234E-5</c:v>
                </c:pt>
                <c:pt idx="123">
                  <c:v>3.7356530686863316E-5</c:v>
                </c:pt>
                <c:pt idx="124">
                  <c:v>1.8025972811456483E-5</c:v>
                </c:pt>
                <c:pt idx="125">
                  <c:v>8.4463237360723854E-6</c:v>
                </c:pt>
                <c:pt idx="126">
                  <c:v>3.8405864742792049E-6</c:v>
                </c:pt>
                <c:pt idx="127">
                  <c:v>1.6935378171519319E-6</c:v>
                </c:pt>
                <c:pt idx="128">
                  <c:v>7.2368250513669133E-7</c:v>
                </c:pt>
                <c:pt idx="129">
                  <c:v>2.9945094932764976E-7</c:v>
                </c:pt>
                <c:pt idx="130">
                  <c:v>1.1988789210395961E-7</c:v>
                </c:pt>
                <c:pt idx="131">
                  <c:v>4.6400424502856311E-8</c:v>
                </c:pt>
                <c:pt idx="132">
                  <c:v>1.7344681535928216E-8</c:v>
                </c:pt>
                <c:pt idx="133">
                  <c:v>6.2558038685430222E-9</c:v>
                </c:pt>
                <c:pt idx="134">
                  <c:v>2.1747979039233984E-9</c:v>
                </c:pt>
                <c:pt idx="135">
                  <c:v>7.2793048550301895E-10</c:v>
                </c:pt>
                <c:pt idx="136">
                  <c:v>2.3430391966216697E-10</c:v>
                </c:pt>
                <c:pt idx="137">
                  <c:v>7.2432873549647532E-11</c:v>
                </c:pt>
                <c:pt idx="138">
                  <c:v>2.1476705522810528E-11</c:v>
                </c:pt>
                <c:pt idx="139">
                  <c:v>6.0987759338418334E-12</c:v>
                </c:pt>
                <c:pt idx="140">
                  <c:v>1.6560836445449307E-12</c:v>
                </c:pt>
                <c:pt idx="141">
                  <c:v>4.2929707888527282E-13</c:v>
                </c:pt>
                <c:pt idx="142">
                  <c:v>1.0604407868919944E-13</c:v>
                </c:pt>
                <c:pt idx="143">
                  <c:v>2.4912906858788226E-14</c:v>
                </c:pt>
                <c:pt idx="144">
                  <c:v>5.5547235495362182E-15</c:v>
                </c:pt>
                <c:pt idx="145">
                  <c:v>1.172784576672525E-15</c:v>
                </c:pt>
                <c:pt idx="146">
                  <c:v>2.3389928393251342E-16</c:v>
                </c:pt>
                <c:pt idx="147">
                  <c:v>4.3948306122125396E-17</c:v>
                </c:pt>
                <c:pt idx="148">
                  <c:v>7.7572252501993409E-18</c:v>
                </c:pt>
                <c:pt idx="149">
                  <c:v>1.2822104113234797E-18</c:v>
                </c:pt>
                <c:pt idx="150">
                  <c:v>1.9779463464769173E-19</c:v>
                </c:pt>
                <c:pt idx="151">
                  <c:v>2.8369166203881151E-20</c:v>
                </c:pt>
                <c:pt idx="152">
                  <c:v>3.7676739327806769E-21</c:v>
                </c:pt>
                <c:pt idx="153">
                  <c:v>4.6124888011352357E-22</c:v>
                </c:pt>
                <c:pt idx="154">
                  <c:v>5.1793115795918545E-23</c:v>
                </c:pt>
                <c:pt idx="155">
                  <c:v>5.3050994094741039E-24</c:v>
                </c:pt>
                <c:pt idx="156">
                  <c:v>4.9265990366534905E-25</c:v>
                </c:pt>
                <c:pt idx="157">
                  <c:v>4.1198206324568006E-26</c:v>
                </c:pt>
                <c:pt idx="158">
                  <c:v>3.0788065817813101E-27</c:v>
                </c:pt>
                <c:pt idx="159">
                  <c:v>2.0386773714315746E-28</c:v>
                </c:pt>
                <c:pt idx="160">
                  <c:v>1.1846492814285038E-29</c:v>
                </c:pt>
                <c:pt idx="161">
                  <c:v>5.9752919472960749E-31</c:v>
                </c:pt>
                <c:pt idx="162">
                  <c:v>2.5837158273306758E-32</c:v>
                </c:pt>
                <c:pt idx="163">
                  <c:v>9.4414908712928083E-34</c:v>
                </c:pt>
                <c:pt idx="164">
                  <c:v>2.8680270855202653E-35</c:v>
                </c:pt>
                <c:pt idx="165">
                  <c:v>7.1046870909461545E-37</c:v>
                </c:pt>
                <c:pt idx="166">
                  <c:v>1.4033535227315424E-38</c:v>
                </c:pt>
                <c:pt idx="167">
                  <c:v>2.1523505442775582E-40</c:v>
                </c:pt>
                <c:pt idx="168">
                  <c:v>2.4831821166632991E-42</c:v>
                </c:pt>
                <c:pt idx="169">
                  <c:v>2.074072704508442E-44</c:v>
                </c:pt>
                <c:pt idx="170">
                  <c:v>1.1968122081335141E-46</c:v>
                </c:pt>
                <c:pt idx="171">
                  <c:v>4.5018432797075267E-49</c:v>
                </c:pt>
                <c:pt idx="172">
                  <c:v>1.0258785005006591E-51</c:v>
                </c:pt>
                <c:pt idx="173">
                  <c:v>1.2888539247859851E-54</c:v>
                </c:pt>
                <c:pt idx="174">
                  <c:v>7.8850240872812441E-58</c:v>
                </c:pt>
                <c:pt idx="175">
                  <c:v>1.9855385563197709E-61</c:v>
                </c:pt>
                <c:pt idx="176">
                  <c:v>1.6257689559823468E-65</c:v>
                </c:pt>
                <c:pt idx="177">
                  <c:v>3.0648779189638164E-70</c:v>
                </c:pt>
                <c:pt idx="178">
                  <c:v>7.7892403486357351E-76</c:v>
                </c:pt>
                <c:pt idx="179">
                  <c:v>1.0886471808131194E-82</c:v>
                </c:pt>
                <c:pt idx="180">
                  <c:v>1.5579816002341329E-91</c:v>
                </c:pt>
                <c:pt idx="181">
                  <c:v>5.2429945828898957E-104</c:v>
                </c:pt>
                <c:pt idx="182">
                  <c:v>2.4445743601939591E-125</c:v>
                </c:pt>
                <c:pt idx="18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06-47CD-BF7D-D4354233F745}"/>
            </c:ext>
          </c:extLst>
        </c:ser>
        <c:ser>
          <c:idx val="3"/>
          <c:order val="3"/>
          <c:tx>
            <c:strRef>
              <c:f>cosn!$L$3</c:f>
              <c:strCache>
                <c:ptCount val="1"/>
                <c:pt idx="0">
                  <c:v>I0/Phi 20.00 cd/lm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cosn!$I$4:$I$187</c:f>
              <c:numCache>
                <c:formatCode>General</c:formatCode>
                <c:ptCount val="184"/>
                <c:pt idx="0">
                  <c:v>-90</c:v>
                </c:pt>
                <c:pt idx="1">
                  <c:v>-89</c:v>
                </c:pt>
                <c:pt idx="2">
                  <c:v>-88</c:v>
                </c:pt>
                <c:pt idx="3">
                  <c:v>-87</c:v>
                </c:pt>
                <c:pt idx="4">
                  <c:v>-86</c:v>
                </c:pt>
                <c:pt idx="5">
                  <c:v>-85</c:v>
                </c:pt>
                <c:pt idx="6">
                  <c:v>-84</c:v>
                </c:pt>
                <c:pt idx="7">
                  <c:v>-83</c:v>
                </c:pt>
                <c:pt idx="8">
                  <c:v>-82</c:v>
                </c:pt>
                <c:pt idx="9">
                  <c:v>-81</c:v>
                </c:pt>
                <c:pt idx="10">
                  <c:v>-80</c:v>
                </c:pt>
                <c:pt idx="11">
                  <c:v>-79</c:v>
                </c:pt>
                <c:pt idx="12">
                  <c:v>-78</c:v>
                </c:pt>
                <c:pt idx="13">
                  <c:v>-77</c:v>
                </c:pt>
                <c:pt idx="14">
                  <c:v>-76</c:v>
                </c:pt>
                <c:pt idx="15">
                  <c:v>-75</c:v>
                </c:pt>
                <c:pt idx="16">
                  <c:v>-74</c:v>
                </c:pt>
                <c:pt idx="17">
                  <c:v>-73</c:v>
                </c:pt>
                <c:pt idx="18">
                  <c:v>-72</c:v>
                </c:pt>
                <c:pt idx="19">
                  <c:v>-71</c:v>
                </c:pt>
                <c:pt idx="20">
                  <c:v>-70</c:v>
                </c:pt>
                <c:pt idx="21">
                  <c:v>-69</c:v>
                </c:pt>
                <c:pt idx="22">
                  <c:v>-68</c:v>
                </c:pt>
                <c:pt idx="23">
                  <c:v>-67</c:v>
                </c:pt>
                <c:pt idx="24">
                  <c:v>-66</c:v>
                </c:pt>
                <c:pt idx="25">
                  <c:v>-65</c:v>
                </c:pt>
                <c:pt idx="26">
                  <c:v>-64</c:v>
                </c:pt>
                <c:pt idx="27">
                  <c:v>-63</c:v>
                </c:pt>
                <c:pt idx="28">
                  <c:v>-62</c:v>
                </c:pt>
                <c:pt idx="29">
                  <c:v>-61</c:v>
                </c:pt>
                <c:pt idx="30">
                  <c:v>-60</c:v>
                </c:pt>
                <c:pt idx="31">
                  <c:v>-59</c:v>
                </c:pt>
                <c:pt idx="32">
                  <c:v>-58</c:v>
                </c:pt>
                <c:pt idx="33">
                  <c:v>-57</c:v>
                </c:pt>
                <c:pt idx="34">
                  <c:v>-56</c:v>
                </c:pt>
                <c:pt idx="35">
                  <c:v>-55</c:v>
                </c:pt>
                <c:pt idx="39">
                  <c:v>-54</c:v>
                </c:pt>
                <c:pt idx="40">
                  <c:v>-53</c:v>
                </c:pt>
                <c:pt idx="41">
                  <c:v>-52</c:v>
                </c:pt>
                <c:pt idx="42">
                  <c:v>-51</c:v>
                </c:pt>
                <c:pt idx="43">
                  <c:v>-50</c:v>
                </c:pt>
                <c:pt idx="44">
                  <c:v>-49</c:v>
                </c:pt>
                <c:pt idx="45">
                  <c:v>-48</c:v>
                </c:pt>
                <c:pt idx="46">
                  <c:v>-47</c:v>
                </c:pt>
                <c:pt idx="47">
                  <c:v>-46</c:v>
                </c:pt>
                <c:pt idx="48">
                  <c:v>-45</c:v>
                </c:pt>
                <c:pt idx="49">
                  <c:v>-44</c:v>
                </c:pt>
                <c:pt idx="50">
                  <c:v>-43</c:v>
                </c:pt>
                <c:pt idx="51">
                  <c:v>-42</c:v>
                </c:pt>
                <c:pt idx="52">
                  <c:v>-41</c:v>
                </c:pt>
                <c:pt idx="53">
                  <c:v>-40</c:v>
                </c:pt>
                <c:pt idx="54">
                  <c:v>-39</c:v>
                </c:pt>
                <c:pt idx="55">
                  <c:v>-38</c:v>
                </c:pt>
                <c:pt idx="56">
                  <c:v>-37</c:v>
                </c:pt>
                <c:pt idx="57">
                  <c:v>-36</c:v>
                </c:pt>
                <c:pt idx="58">
                  <c:v>-35</c:v>
                </c:pt>
                <c:pt idx="59">
                  <c:v>-34</c:v>
                </c:pt>
                <c:pt idx="60">
                  <c:v>-33</c:v>
                </c:pt>
                <c:pt idx="61">
                  <c:v>-32</c:v>
                </c:pt>
                <c:pt idx="62">
                  <c:v>-31</c:v>
                </c:pt>
                <c:pt idx="63">
                  <c:v>-30</c:v>
                </c:pt>
                <c:pt idx="64">
                  <c:v>-29</c:v>
                </c:pt>
                <c:pt idx="65">
                  <c:v>-28</c:v>
                </c:pt>
                <c:pt idx="66">
                  <c:v>-27</c:v>
                </c:pt>
                <c:pt idx="67">
                  <c:v>-26</c:v>
                </c:pt>
                <c:pt idx="68">
                  <c:v>-25</c:v>
                </c:pt>
                <c:pt idx="69">
                  <c:v>-24</c:v>
                </c:pt>
                <c:pt idx="70">
                  <c:v>-23</c:v>
                </c:pt>
                <c:pt idx="71">
                  <c:v>-22</c:v>
                </c:pt>
                <c:pt idx="72">
                  <c:v>-21</c:v>
                </c:pt>
                <c:pt idx="73">
                  <c:v>-20</c:v>
                </c:pt>
                <c:pt idx="74">
                  <c:v>-19</c:v>
                </c:pt>
                <c:pt idx="75">
                  <c:v>-18</c:v>
                </c:pt>
                <c:pt idx="76">
                  <c:v>-17</c:v>
                </c:pt>
                <c:pt idx="77">
                  <c:v>-16</c:v>
                </c:pt>
                <c:pt idx="78">
                  <c:v>-15</c:v>
                </c:pt>
                <c:pt idx="79">
                  <c:v>-14</c:v>
                </c:pt>
                <c:pt idx="80">
                  <c:v>-13</c:v>
                </c:pt>
                <c:pt idx="81">
                  <c:v>-12</c:v>
                </c:pt>
                <c:pt idx="82">
                  <c:v>-11</c:v>
                </c:pt>
                <c:pt idx="83">
                  <c:v>-10</c:v>
                </c:pt>
                <c:pt idx="84">
                  <c:v>-9</c:v>
                </c:pt>
                <c:pt idx="85">
                  <c:v>-8</c:v>
                </c:pt>
                <c:pt idx="86">
                  <c:v>-7</c:v>
                </c:pt>
                <c:pt idx="87">
                  <c:v>-6</c:v>
                </c:pt>
                <c:pt idx="88">
                  <c:v>-5</c:v>
                </c:pt>
                <c:pt idx="89">
                  <c:v>-4</c:v>
                </c:pt>
                <c:pt idx="90">
                  <c:v>-3</c:v>
                </c:pt>
                <c:pt idx="91">
                  <c:v>-2</c:v>
                </c:pt>
                <c:pt idx="92">
                  <c:v>-1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5</c:v>
                </c:pt>
                <c:pt idx="99">
                  <c:v>6</c:v>
                </c:pt>
                <c:pt idx="100">
                  <c:v>7</c:v>
                </c:pt>
                <c:pt idx="101">
                  <c:v>8</c:v>
                </c:pt>
                <c:pt idx="102">
                  <c:v>9</c:v>
                </c:pt>
                <c:pt idx="103">
                  <c:v>10</c:v>
                </c:pt>
                <c:pt idx="104">
                  <c:v>11</c:v>
                </c:pt>
                <c:pt idx="105">
                  <c:v>12</c:v>
                </c:pt>
                <c:pt idx="106">
                  <c:v>13</c:v>
                </c:pt>
                <c:pt idx="107">
                  <c:v>14</c:v>
                </c:pt>
                <c:pt idx="108">
                  <c:v>15</c:v>
                </c:pt>
                <c:pt idx="109">
                  <c:v>16</c:v>
                </c:pt>
                <c:pt idx="110">
                  <c:v>17</c:v>
                </c:pt>
                <c:pt idx="111">
                  <c:v>18</c:v>
                </c:pt>
                <c:pt idx="112">
                  <c:v>19</c:v>
                </c:pt>
                <c:pt idx="113">
                  <c:v>20</c:v>
                </c:pt>
                <c:pt idx="114">
                  <c:v>21</c:v>
                </c:pt>
                <c:pt idx="115">
                  <c:v>22</c:v>
                </c:pt>
                <c:pt idx="116">
                  <c:v>23</c:v>
                </c:pt>
                <c:pt idx="117">
                  <c:v>24</c:v>
                </c:pt>
                <c:pt idx="118">
                  <c:v>25</c:v>
                </c:pt>
                <c:pt idx="119">
                  <c:v>26</c:v>
                </c:pt>
                <c:pt idx="120">
                  <c:v>27</c:v>
                </c:pt>
                <c:pt idx="121">
                  <c:v>28</c:v>
                </c:pt>
                <c:pt idx="122">
                  <c:v>29</c:v>
                </c:pt>
                <c:pt idx="123">
                  <c:v>30</c:v>
                </c:pt>
                <c:pt idx="124">
                  <c:v>31</c:v>
                </c:pt>
                <c:pt idx="125">
                  <c:v>32</c:v>
                </c:pt>
                <c:pt idx="126">
                  <c:v>33</c:v>
                </c:pt>
                <c:pt idx="127">
                  <c:v>34</c:v>
                </c:pt>
                <c:pt idx="128">
                  <c:v>35</c:v>
                </c:pt>
                <c:pt idx="129">
                  <c:v>36</c:v>
                </c:pt>
                <c:pt idx="130">
                  <c:v>37</c:v>
                </c:pt>
                <c:pt idx="131">
                  <c:v>38</c:v>
                </c:pt>
                <c:pt idx="132">
                  <c:v>39</c:v>
                </c:pt>
                <c:pt idx="133">
                  <c:v>40</c:v>
                </c:pt>
                <c:pt idx="134">
                  <c:v>41</c:v>
                </c:pt>
                <c:pt idx="135">
                  <c:v>42</c:v>
                </c:pt>
                <c:pt idx="136">
                  <c:v>43</c:v>
                </c:pt>
                <c:pt idx="137">
                  <c:v>44</c:v>
                </c:pt>
                <c:pt idx="138">
                  <c:v>45</c:v>
                </c:pt>
                <c:pt idx="139">
                  <c:v>46</c:v>
                </c:pt>
                <c:pt idx="140">
                  <c:v>47</c:v>
                </c:pt>
                <c:pt idx="141">
                  <c:v>48</c:v>
                </c:pt>
                <c:pt idx="142">
                  <c:v>49</c:v>
                </c:pt>
                <c:pt idx="143">
                  <c:v>50</c:v>
                </c:pt>
                <c:pt idx="144">
                  <c:v>51</c:v>
                </c:pt>
                <c:pt idx="145">
                  <c:v>52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56</c:v>
                </c:pt>
                <c:pt idx="150">
                  <c:v>57</c:v>
                </c:pt>
                <c:pt idx="151">
                  <c:v>58</c:v>
                </c:pt>
                <c:pt idx="152">
                  <c:v>59</c:v>
                </c:pt>
                <c:pt idx="153">
                  <c:v>60</c:v>
                </c:pt>
                <c:pt idx="154">
                  <c:v>61</c:v>
                </c:pt>
                <c:pt idx="155">
                  <c:v>62</c:v>
                </c:pt>
                <c:pt idx="156">
                  <c:v>63</c:v>
                </c:pt>
                <c:pt idx="157">
                  <c:v>64</c:v>
                </c:pt>
                <c:pt idx="158">
                  <c:v>65</c:v>
                </c:pt>
                <c:pt idx="159">
                  <c:v>66</c:v>
                </c:pt>
                <c:pt idx="160">
                  <c:v>67</c:v>
                </c:pt>
                <c:pt idx="161">
                  <c:v>68</c:v>
                </c:pt>
                <c:pt idx="162">
                  <c:v>69</c:v>
                </c:pt>
                <c:pt idx="163">
                  <c:v>70</c:v>
                </c:pt>
                <c:pt idx="164">
                  <c:v>71</c:v>
                </c:pt>
                <c:pt idx="165">
                  <c:v>72</c:v>
                </c:pt>
                <c:pt idx="166">
                  <c:v>73</c:v>
                </c:pt>
                <c:pt idx="167">
                  <c:v>74</c:v>
                </c:pt>
                <c:pt idx="168">
                  <c:v>75</c:v>
                </c:pt>
                <c:pt idx="169">
                  <c:v>76</c:v>
                </c:pt>
                <c:pt idx="170">
                  <c:v>77</c:v>
                </c:pt>
                <c:pt idx="171">
                  <c:v>78</c:v>
                </c:pt>
                <c:pt idx="172">
                  <c:v>79</c:v>
                </c:pt>
                <c:pt idx="173">
                  <c:v>80</c:v>
                </c:pt>
                <c:pt idx="174">
                  <c:v>81</c:v>
                </c:pt>
                <c:pt idx="175">
                  <c:v>82</c:v>
                </c:pt>
                <c:pt idx="176">
                  <c:v>83</c:v>
                </c:pt>
                <c:pt idx="177">
                  <c:v>84</c:v>
                </c:pt>
                <c:pt idx="178">
                  <c:v>85</c:v>
                </c:pt>
                <c:pt idx="179">
                  <c:v>86</c:v>
                </c:pt>
                <c:pt idx="180">
                  <c:v>87</c:v>
                </c:pt>
                <c:pt idx="181">
                  <c:v>88</c:v>
                </c:pt>
                <c:pt idx="182">
                  <c:v>89</c:v>
                </c:pt>
                <c:pt idx="183">
                  <c:v>90</c:v>
                </c:pt>
              </c:numCache>
            </c:numRef>
          </c:xVal>
          <c:yVal>
            <c:numRef>
              <c:f>cosn!$L$4:$L$187</c:f>
              <c:numCache>
                <c:formatCode>0.00</c:formatCode>
                <c:ptCount val="184"/>
                <c:pt idx="0">
                  <c:v>0</c:v>
                </c:pt>
                <c:pt idx="1">
                  <c:v>6.6553064525861618E-220</c:v>
                </c:pt>
                <c:pt idx="2">
                  <c:v>2.2000697507748135E-182</c:v>
                </c:pt>
                <c:pt idx="3">
                  <c:v>1.9093260296600805E-160</c:v>
                </c:pt>
                <c:pt idx="4">
                  <c:v>6.8700552873353006E-145</c:v>
                </c:pt>
                <c:pt idx="5">
                  <c:v>7.8229937499689557E-133</c:v>
                </c:pt>
                <c:pt idx="6">
                  <c:v>5.4218324716203396E-123</c:v>
                </c:pt>
                <c:pt idx="7">
                  <c:v>1.1071768202863479E-114</c:v>
                </c:pt>
                <c:pt idx="8">
                  <c:v>1.7077727896484474E-107</c:v>
                </c:pt>
                <c:pt idx="9">
                  <c:v>3.6517094879466687E-101</c:v>
                </c:pt>
                <c:pt idx="10">
                  <c:v>1.6386001185410966E-95</c:v>
                </c:pt>
                <c:pt idx="11">
                  <c:v>2.0738904299472503E-90</c:v>
                </c:pt>
                <c:pt idx="12">
                  <c:v>9.2099424537771288E-86</c:v>
                </c:pt>
                <c:pt idx="13">
                  <c:v>1.6939201887924759E-81</c:v>
                </c:pt>
                <c:pt idx="14">
                  <c:v>1.4677880576804288E-77</c:v>
                </c:pt>
                <c:pt idx="15">
                  <c:v>6.6364309876088628E-74</c:v>
                </c:pt>
                <c:pt idx="16">
                  <c:v>1.7000835012036446E-70</c:v>
                </c:pt>
                <c:pt idx="17">
                  <c:v>2.6394908526631181E-67</c:v>
                </c:pt>
                <c:pt idx="18">
                  <c:v>2.6261002943759002E-64</c:v>
                </c:pt>
                <c:pt idx="19">
                  <c:v>1.7544267311665377E-61</c:v>
                </c:pt>
                <c:pt idx="20">
                  <c:v>8.187590936023208E-59</c:v>
                </c:pt>
                <c:pt idx="21">
                  <c:v>2.7607151118846679E-56</c:v>
                </c:pt>
                <c:pt idx="22">
                  <c:v>6.9235861881334217E-54</c:v>
                </c:pt>
                <c:pt idx="23">
                  <c:v>1.3243426807386766E-51</c:v>
                </c:pt>
                <c:pt idx="24">
                  <c:v>1.9749132771531248E-49</c:v>
                </c:pt>
                <c:pt idx="25">
                  <c:v>2.3405812827900343E-47</c:v>
                </c:pt>
                <c:pt idx="26">
                  <c:v>2.2422887554229278E-45</c:v>
                </c:pt>
                <c:pt idx="27">
                  <c:v>1.7627010882777077E-43</c:v>
                </c:pt>
                <c:pt idx="28">
                  <c:v>1.1523838092172551E-41</c:v>
                </c:pt>
                <c:pt idx="29">
                  <c:v>6.3408006790913133E-40</c:v>
                </c:pt>
                <c:pt idx="30">
                  <c:v>2.9681447733239668E-38</c:v>
                </c:pt>
                <c:pt idx="31">
                  <c:v>1.1935034199889551E-36</c:v>
                </c:pt>
                <c:pt idx="32">
                  <c:v>4.1587235576681689E-35</c:v>
                </c:pt>
                <c:pt idx="33">
                  <c:v>1.2657285468255284E-33</c:v>
                </c:pt>
                <c:pt idx="34">
                  <c:v>3.3892209064964889E-32</c:v>
                </c:pt>
                <c:pt idx="35">
                  <c:v>8.0370548362899432E-31</c:v>
                </c:pt>
                <c:pt idx="39">
                  <c:v>1.6980325073974134E-29</c:v>
                </c:pt>
                <c:pt idx="40">
                  <c:v>3.2139812429000242E-28</c:v>
                </c:pt>
                <c:pt idx="41">
                  <c:v>5.4776002745163742E-27</c:v>
                </c:pt>
                <c:pt idx="42">
                  <c:v>8.4452723288913024E-26</c:v>
                </c:pt>
                <c:pt idx="43">
                  <c:v>1.1829947458059491E-24</c:v>
                </c:pt>
                <c:pt idx="44">
                  <c:v>1.5115606462953339E-23</c:v>
                </c:pt>
                <c:pt idx="45">
                  <c:v>1.7682412217270303E-22</c:v>
                </c:pt>
                <c:pt idx="46">
                  <c:v>1.9002639904373441E-21</c:v>
                </c:pt>
                <c:pt idx="47">
                  <c:v>1.8820038230161089E-20</c:v>
                </c:pt>
                <c:pt idx="48">
                  <c:v>1.7228304540273035E-19</c:v>
                </c:pt>
                <c:pt idx="49">
                  <c:v>1.4617511399928278E-18</c:v>
                </c:pt>
                <c:pt idx="50">
                  <c:v>1.1524605796018681E-17</c:v>
                </c:pt>
                <c:pt idx="51">
                  <c:v>8.463294859980243E-17</c:v>
                </c:pt>
                <c:pt idx="52">
                  <c:v>5.8020938180960859E-16</c:v>
                </c:pt>
                <c:pt idx="53">
                  <c:v>3.7210927841818157E-15</c:v>
                </c:pt>
                <c:pt idx="54">
                  <c:v>2.236905383264906E-14</c:v>
                </c:pt>
                <c:pt idx="55">
                  <c:v>1.2627390806554362E-13</c:v>
                </c:pt>
                <c:pt idx="56">
                  <c:v>6.7052754355736655E-13</c:v>
                </c:pt>
                <c:pt idx="57">
                  <c:v>3.3547398834223027E-12</c:v>
                </c:pt>
                <c:pt idx="58">
                  <c:v>1.5837984294629016E-11</c:v>
                </c:pt>
                <c:pt idx="59">
                  <c:v>7.0657730182680175E-11</c:v>
                </c:pt>
                <c:pt idx="60">
                  <c:v>2.9827786611866994E-10</c:v>
                </c:pt>
                <c:pt idx="61">
                  <c:v>1.1929773286762735E-9</c:v>
                </c:pt>
                <c:pt idx="62">
                  <c:v>4.5259424418392811E-9</c:v>
                </c:pt>
                <c:pt idx="63">
                  <c:v>1.6305609105049378E-8</c:v>
                </c:pt>
                <c:pt idx="64">
                  <c:v>5.5843569322098021E-8</c:v>
                </c:pt>
                <c:pt idx="65">
                  <c:v>1.8199003739831214E-7</c:v>
                </c:pt>
                <c:pt idx="66">
                  <c:v>5.6489178551367682E-7</c:v>
                </c:pt>
                <c:pt idx="67">
                  <c:v>1.6715030092600029E-6</c:v>
                </c:pt>
                <c:pt idx="68">
                  <c:v>4.7188030510338735E-6</c:v>
                </c:pt>
                <c:pt idx="69">
                  <c:v>1.271968986909649E-5</c:v>
                </c:pt>
                <c:pt idx="70">
                  <c:v>3.2761075129362475E-5</c:v>
                </c:pt>
                <c:pt idx="71">
                  <c:v>8.0681595619258066E-5</c:v>
                </c:pt>
                <c:pt idx="72">
                  <c:v>1.9011001597561176E-4</c:v>
                </c:pt>
                <c:pt idx="73">
                  <c:v>4.2885626542294423E-4</c:v>
                </c:pt>
                <c:pt idx="74">
                  <c:v>9.267021720737944E-4</c:v>
                </c:pt>
                <c:pt idx="75">
                  <c:v>1.9191979539240906E-3</c:v>
                </c:pt>
                <c:pt idx="76">
                  <c:v>3.8112268163793981E-3</c:v>
                </c:pt>
                <c:pt idx="77">
                  <c:v>7.2606395995564741E-3</c:v>
                </c:pt>
                <c:pt idx="78">
                  <c:v>1.3275032034325543E-2</c:v>
                </c:pt>
                <c:pt idx="79">
                  <c:v>2.3303377911364435E-2</c:v>
                </c:pt>
                <c:pt idx="80">
                  <c:v>3.9290148932195797E-2</c:v>
                </c:pt>
                <c:pt idx="81">
                  <c:v>6.3646744274133707E-2</c:v>
                </c:pt>
                <c:pt idx="82">
                  <c:v>9.9090124821540476E-2</c:v>
                </c:pt>
                <c:pt idx="83">
                  <c:v>0.14830924865615241</c:v>
                </c:pt>
                <c:pt idx="84">
                  <c:v>0.21345197061005544</c:v>
                </c:pt>
                <c:pt idx="85">
                  <c:v>0.29547806294253415</c:v>
                </c:pt>
                <c:pt idx="86">
                  <c:v>0.39348795711098733</c:v>
                </c:pt>
                <c:pt idx="87">
                  <c:v>0.5041919443265146</c:v>
                </c:pt>
                <c:pt idx="88">
                  <c:v>0.62170602877373615</c:v>
                </c:pt>
                <c:pt idx="89">
                  <c:v>0.73782766915493525</c:v>
                </c:pt>
                <c:pt idx="90">
                  <c:v>0.84285153307991512</c:v>
                </c:pt>
                <c:pt idx="91">
                  <c:v>0.92684873678984825</c:v>
                </c:pt>
                <c:pt idx="92">
                  <c:v>0.98119081040418044</c:v>
                </c:pt>
                <c:pt idx="93">
                  <c:v>1</c:v>
                </c:pt>
                <c:pt idx="94">
                  <c:v>0.98119081040418044</c:v>
                </c:pt>
                <c:pt idx="95">
                  <c:v>0.92684873678984825</c:v>
                </c:pt>
                <c:pt idx="96">
                  <c:v>0.84285153307991512</c:v>
                </c:pt>
                <c:pt idx="97">
                  <c:v>0.73782766915493525</c:v>
                </c:pt>
                <c:pt idx="98">
                  <c:v>0.62170602877373615</c:v>
                </c:pt>
                <c:pt idx="99">
                  <c:v>0.5041919443265146</c:v>
                </c:pt>
                <c:pt idx="100">
                  <c:v>0.39348795711098733</c:v>
                </c:pt>
                <c:pt idx="101">
                  <c:v>0.29547806294253415</c:v>
                </c:pt>
                <c:pt idx="102">
                  <c:v>0.21345197061005544</c:v>
                </c:pt>
                <c:pt idx="103">
                  <c:v>0.14830924865615241</c:v>
                </c:pt>
                <c:pt idx="104">
                  <c:v>9.9090124821540476E-2</c:v>
                </c:pt>
                <c:pt idx="105">
                  <c:v>6.3646744274133707E-2</c:v>
                </c:pt>
                <c:pt idx="106">
                  <c:v>3.9290148932195797E-2</c:v>
                </c:pt>
                <c:pt idx="107">
                  <c:v>2.3303377911364435E-2</c:v>
                </c:pt>
                <c:pt idx="108">
                  <c:v>1.3275032034325543E-2</c:v>
                </c:pt>
                <c:pt idx="109">
                  <c:v>7.2606395995564741E-3</c:v>
                </c:pt>
                <c:pt idx="110">
                  <c:v>3.8112268163793981E-3</c:v>
                </c:pt>
                <c:pt idx="111">
                  <c:v>1.9191979539240906E-3</c:v>
                </c:pt>
                <c:pt idx="112">
                  <c:v>9.267021720737944E-4</c:v>
                </c:pt>
                <c:pt idx="113">
                  <c:v>4.2885626542294423E-4</c:v>
                </c:pt>
                <c:pt idx="114">
                  <c:v>1.9011001597561176E-4</c:v>
                </c:pt>
                <c:pt idx="115">
                  <c:v>8.0681595619258066E-5</c:v>
                </c:pt>
                <c:pt idx="116">
                  <c:v>3.2761075129362475E-5</c:v>
                </c:pt>
                <c:pt idx="117">
                  <c:v>1.271968986909649E-5</c:v>
                </c:pt>
                <c:pt idx="118">
                  <c:v>4.7188030510338735E-6</c:v>
                </c:pt>
                <c:pt idx="119">
                  <c:v>1.6715030092600029E-6</c:v>
                </c:pt>
                <c:pt idx="120">
                  <c:v>5.6489178551367682E-7</c:v>
                </c:pt>
                <c:pt idx="121">
                  <c:v>1.8199003739831214E-7</c:v>
                </c:pt>
                <c:pt idx="122">
                  <c:v>5.5843569322098021E-8</c:v>
                </c:pt>
                <c:pt idx="123">
                  <c:v>1.6305609105049378E-8</c:v>
                </c:pt>
                <c:pt idx="124">
                  <c:v>4.5259424418392811E-9</c:v>
                </c:pt>
                <c:pt idx="125">
                  <c:v>1.1929773286762735E-9</c:v>
                </c:pt>
                <c:pt idx="126">
                  <c:v>2.9827786611866994E-10</c:v>
                </c:pt>
                <c:pt idx="127">
                  <c:v>7.0657730182680175E-11</c:v>
                </c:pt>
                <c:pt idx="128">
                  <c:v>1.5837984294629016E-11</c:v>
                </c:pt>
                <c:pt idx="129">
                  <c:v>3.3547398834223027E-12</c:v>
                </c:pt>
                <c:pt idx="130">
                  <c:v>6.7052754355736655E-13</c:v>
                </c:pt>
                <c:pt idx="131">
                  <c:v>1.2627390806554362E-13</c:v>
                </c:pt>
                <c:pt idx="132">
                  <c:v>2.236905383264906E-14</c:v>
                </c:pt>
                <c:pt idx="133">
                  <c:v>3.7210927841818157E-15</c:v>
                </c:pt>
                <c:pt idx="134">
                  <c:v>5.8020938180960859E-16</c:v>
                </c:pt>
                <c:pt idx="135">
                  <c:v>8.463294859980243E-17</c:v>
                </c:pt>
                <c:pt idx="136">
                  <c:v>1.1524605796018681E-17</c:v>
                </c:pt>
                <c:pt idx="137">
                  <c:v>1.4617511399928278E-18</c:v>
                </c:pt>
                <c:pt idx="138">
                  <c:v>1.7228304540273035E-19</c:v>
                </c:pt>
                <c:pt idx="139">
                  <c:v>1.8820038230161089E-20</c:v>
                </c:pt>
                <c:pt idx="140">
                  <c:v>1.9002639904373441E-21</c:v>
                </c:pt>
                <c:pt idx="141">
                  <c:v>1.7682412217270303E-22</c:v>
                </c:pt>
                <c:pt idx="142">
                  <c:v>1.5115606462953339E-23</c:v>
                </c:pt>
                <c:pt idx="143">
                  <c:v>1.1829947458059491E-24</c:v>
                </c:pt>
                <c:pt idx="144">
                  <c:v>8.4452723288913024E-26</c:v>
                </c:pt>
                <c:pt idx="145">
                  <c:v>5.4776002745163742E-27</c:v>
                </c:pt>
                <c:pt idx="146">
                  <c:v>3.2139812429000242E-28</c:v>
                </c:pt>
                <c:pt idx="147">
                  <c:v>1.6980325073974134E-29</c:v>
                </c:pt>
                <c:pt idx="148">
                  <c:v>8.0370548362899432E-31</c:v>
                </c:pt>
                <c:pt idx="149">
                  <c:v>3.3892209064964889E-32</c:v>
                </c:pt>
                <c:pt idx="150">
                  <c:v>1.2657285468255284E-33</c:v>
                </c:pt>
                <c:pt idx="151">
                  <c:v>4.1587235576681689E-35</c:v>
                </c:pt>
                <c:pt idx="152">
                  <c:v>1.1935034199889551E-36</c:v>
                </c:pt>
                <c:pt idx="153">
                  <c:v>2.9681447733239668E-38</c:v>
                </c:pt>
                <c:pt idx="154">
                  <c:v>6.3408006790913133E-40</c:v>
                </c:pt>
                <c:pt idx="155">
                  <c:v>1.1523838092172551E-41</c:v>
                </c:pt>
                <c:pt idx="156">
                  <c:v>1.7627010882777077E-43</c:v>
                </c:pt>
                <c:pt idx="157">
                  <c:v>2.2422887554229278E-45</c:v>
                </c:pt>
                <c:pt idx="158">
                  <c:v>2.3405812827900343E-47</c:v>
                </c:pt>
                <c:pt idx="159">
                  <c:v>1.9749132771531248E-49</c:v>
                </c:pt>
                <c:pt idx="160">
                  <c:v>1.3243426807386766E-51</c:v>
                </c:pt>
                <c:pt idx="161">
                  <c:v>6.9235861881334217E-54</c:v>
                </c:pt>
                <c:pt idx="162">
                  <c:v>2.7607151118846679E-56</c:v>
                </c:pt>
                <c:pt idx="163">
                  <c:v>8.187590936023208E-59</c:v>
                </c:pt>
                <c:pt idx="164">
                  <c:v>1.7544267311665377E-61</c:v>
                </c:pt>
                <c:pt idx="165">
                  <c:v>2.6261002943759002E-64</c:v>
                </c:pt>
                <c:pt idx="166">
                  <c:v>2.6394908526631181E-67</c:v>
                </c:pt>
                <c:pt idx="167">
                  <c:v>1.7000835012036446E-70</c:v>
                </c:pt>
                <c:pt idx="168">
                  <c:v>6.6364309876088628E-74</c:v>
                </c:pt>
                <c:pt idx="169">
                  <c:v>1.4677880576804288E-77</c:v>
                </c:pt>
                <c:pt idx="170">
                  <c:v>1.6939201887924759E-81</c:v>
                </c:pt>
                <c:pt idx="171">
                  <c:v>9.2099424537771288E-86</c:v>
                </c:pt>
                <c:pt idx="172">
                  <c:v>2.0738904299472503E-90</c:v>
                </c:pt>
                <c:pt idx="173">
                  <c:v>1.6386001185410966E-95</c:v>
                </c:pt>
                <c:pt idx="174">
                  <c:v>3.6517094879466687E-101</c:v>
                </c:pt>
                <c:pt idx="175">
                  <c:v>1.7077727896484474E-107</c:v>
                </c:pt>
                <c:pt idx="176">
                  <c:v>1.1071768202863479E-114</c:v>
                </c:pt>
                <c:pt idx="177">
                  <c:v>5.4218324716203396E-123</c:v>
                </c:pt>
                <c:pt idx="178">
                  <c:v>7.8229937499689557E-133</c:v>
                </c:pt>
                <c:pt idx="179">
                  <c:v>6.8700552873353006E-145</c:v>
                </c:pt>
                <c:pt idx="180">
                  <c:v>1.9093260296600805E-160</c:v>
                </c:pt>
                <c:pt idx="181">
                  <c:v>2.2000697507748135E-182</c:v>
                </c:pt>
                <c:pt idx="182">
                  <c:v>6.6553064525861618E-220</c:v>
                </c:pt>
                <c:pt idx="18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06-47CD-BF7D-D4354233F745}"/>
            </c:ext>
          </c:extLst>
        </c:ser>
        <c:ser>
          <c:idx val="4"/>
          <c:order val="4"/>
          <c:tx>
            <c:strRef>
              <c:f>cosn!$M$3</c:f>
              <c:strCache>
                <c:ptCount val="1"/>
                <c:pt idx="0">
                  <c:v>sigma 17.91°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cosn!$I$4:$I$187</c:f>
              <c:numCache>
                <c:formatCode>General</c:formatCode>
                <c:ptCount val="184"/>
                <c:pt idx="0">
                  <c:v>-90</c:v>
                </c:pt>
                <c:pt idx="1">
                  <c:v>-89</c:v>
                </c:pt>
                <c:pt idx="2">
                  <c:v>-88</c:v>
                </c:pt>
                <c:pt idx="3">
                  <c:v>-87</c:v>
                </c:pt>
                <c:pt idx="4">
                  <c:v>-86</c:v>
                </c:pt>
                <c:pt idx="5">
                  <c:v>-85</c:v>
                </c:pt>
                <c:pt idx="6">
                  <c:v>-84</c:v>
                </c:pt>
                <c:pt idx="7">
                  <c:v>-83</c:v>
                </c:pt>
                <c:pt idx="8">
                  <c:v>-82</c:v>
                </c:pt>
                <c:pt idx="9">
                  <c:v>-81</c:v>
                </c:pt>
                <c:pt idx="10">
                  <c:v>-80</c:v>
                </c:pt>
                <c:pt idx="11">
                  <c:v>-79</c:v>
                </c:pt>
                <c:pt idx="12">
                  <c:v>-78</c:v>
                </c:pt>
                <c:pt idx="13">
                  <c:v>-77</c:v>
                </c:pt>
                <c:pt idx="14">
                  <c:v>-76</c:v>
                </c:pt>
                <c:pt idx="15">
                  <c:v>-75</c:v>
                </c:pt>
                <c:pt idx="16">
                  <c:v>-74</c:v>
                </c:pt>
                <c:pt idx="17">
                  <c:v>-73</c:v>
                </c:pt>
                <c:pt idx="18">
                  <c:v>-72</c:v>
                </c:pt>
                <c:pt idx="19">
                  <c:v>-71</c:v>
                </c:pt>
                <c:pt idx="20">
                  <c:v>-70</c:v>
                </c:pt>
                <c:pt idx="21">
                  <c:v>-69</c:v>
                </c:pt>
                <c:pt idx="22">
                  <c:v>-68</c:v>
                </c:pt>
                <c:pt idx="23">
                  <c:v>-67</c:v>
                </c:pt>
                <c:pt idx="24">
                  <c:v>-66</c:v>
                </c:pt>
                <c:pt idx="25">
                  <c:v>-65</c:v>
                </c:pt>
                <c:pt idx="26">
                  <c:v>-64</c:v>
                </c:pt>
                <c:pt idx="27">
                  <c:v>-63</c:v>
                </c:pt>
                <c:pt idx="28">
                  <c:v>-62</c:v>
                </c:pt>
                <c:pt idx="29">
                  <c:v>-61</c:v>
                </c:pt>
                <c:pt idx="30">
                  <c:v>-60</c:v>
                </c:pt>
                <c:pt idx="31">
                  <c:v>-59</c:v>
                </c:pt>
                <c:pt idx="32">
                  <c:v>-58</c:v>
                </c:pt>
                <c:pt idx="33">
                  <c:v>-57</c:v>
                </c:pt>
                <c:pt idx="34">
                  <c:v>-56</c:v>
                </c:pt>
                <c:pt idx="35">
                  <c:v>-55</c:v>
                </c:pt>
                <c:pt idx="39">
                  <c:v>-54</c:v>
                </c:pt>
                <c:pt idx="40">
                  <c:v>-53</c:v>
                </c:pt>
                <c:pt idx="41">
                  <c:v>-52</c:v>
                </c:pt>
                <c:pt idx="42">
                  <c:v>-51</c:v>
                </c:pt>
                <c:pt idx="43">
                  <c:v>-50</c:v>
                </c:pt>
                <c:pt idx="44">
                  <c:v>-49</c:v>
                </c:pt>
                <c:pt idx="45">
                  <c:v>-48</c:v>
                </c:pt>
                <c:pt idx="46">
                  <c:v>-47</c:v>
                </c:pt>
                <c:pt idx="47">
                  <c:v>-46</c:v>
                </c:pt>
                <c:pt idx="48">
                  <c:v>-45</c:v>
                </c:pt>
                <c:pt idx="49">
                  <c:v>-44</c:v>
                </c:pt>
                <c:pt idx="50">
                  <c:v>-43</c:v>
                </c:pt>
                <c:pt idx="51">
                  <c:v>-42</c:v>
                </c:pt>
                <c:pt idx="52">
                  <c:v>-41</c:v>
                </c:pt>
                <c:pt idx="53">
                  <c:v>-40</c:v>
                </c:pt>
                <c:pt idx="54">
                  <c:v>-39</c:v>
                </c:pt>
                <c:pt idx="55">
                  <c:v>-38</c:v>
                </c:pt>
                <c:pt idx="56">
                  <c:v>-37</c:v>
                </c:pt>
                <c:pt idx="57">
                  <c:v>-36</c:v>
                </c:pt>
                <c:pt idx="58">
                  <c:v>-35</c:v>
                </c:pt>
                <c:pt idx="59">
                  <c:v>-34</c:v>
                </c:pt>
                <c:pt idx="60">
                  <c:v>-33</c:v>
                </c:pt>
                <c:pt idx="61">
                  <c:v>-32</c:v>
                </c:pt>
                <c:pt idx="62">
                  <c:v>-31</c:v>
                </c:pt>
                <c:pt idx="63">
                  <c:v>-30</c:v>
                </c:pt>
                <c:pt idx="64">
                  <c:v>-29</c:v>
                </c:pt>
                <c:pt idx="65">
                  <c:v>-28</c:v>
                </c:pt>
                <c:pt idx="66">
                  <c:v>-27</c:v>
                </c:pt>
                <c:pt idx="67">
                  <c:v>-26</c:v>
                </c:pt>
                <c:pt idx="68">
                  <c:v>-25</c:v>
                </c:pt>
                <c:pt idx="69">
                  <c:v>-24</c:v>
                </c:pt>
                <c:pt idx="70">
                  <c:v>-23</c:v>
                </c:pt>
                <c:pt idx="71">
                  <c:v>-22</c:v>
                </c:pt>
                <c:pt idx="72">
                  <c:v>-21</c:v>
                </c:pt>
                <c:pt idx="73">
                  <c:v>-20</c:v>
                </c:pt>
                <c:pt idx="74">
                  <c:v>-19</c:v>
                </c:pt>
                <c:pt idx="75">
                  <c:v>-18</c:v>
                </c:pt>
                <c:pt idx="76">
                  <c:v>-17</c:v>
                </c:pt>
                <c:pt idx="77">
                  <c:v>-16</c:v>
                </c:pt>
                <c:pt idx="78">
                  <c:v>-15</c:v>
                </c:pt>
                <c:pt idx="79">
                  <c:v>-14</c:v>
                </c:pt>
                <c:pt idx="80">
                  <c:v>-13</c:v>
                </c:pt>
                <c:pt idx="81">
                  <c:v>-12</c:v>
                </c:pt>
                <c:pt idx="82">
                  <c:v>-11</c:v>
                </c:pt>
                <c:pt idx="83">
                  <c:v>-10</c:v>
                </c:pt>
                <c:pt idx="84">
                  <c:v>-9</c:v>
                </c:pt>
                <c:pt idx="85">
                  <c:v>-8</c:v>
                </c:pt>
                <c:pt idx="86">
                  <c:v>-7</c:v>
                </c:pt>
                <c:pt idx="87">
                  <c:v>-6</c:v>
                </c:pt>
                <c:pt idx="88">
                  <c:v>-5</c:v>
                </c:pt>
                <c:pt idx="89">
                  <c:v>-4</c:v>
                </c:pt>
                <c:pt idx="90">
                  <c:v>-3</c:v>
                </c:pt>
                <c:pt idx="91">
                  <c:v>-2</c:v>
                </c:pt>
                <c:pt idx="92">
                  <c:v>-1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5</c:v>
                </c:pt>
                <c:pt idx="99">
                  <c:v>6</c:v>
                </c:pt>
                <c:pt idx="100">
                  <c:v>7</c:v>
                </c:pt>
                <c:pt idx="101">
                  <c:v>8</c:v>
                </c:pt>
                <c:pt idx="102">
                  <c:v>9</c:v>
                </c:pt>
                <c:pt idx="103">
                  <c:v>10</c:v>
                </c:pt>
                <c:pt idx="104">
                  <c:v>11</c:v>
                </c:pt>
                <c:pt idx="105">
                  <c:v>12</c:v>
                </c:pt>
                <c:pt idx="106">
                  <c:v>13</c:v>
                </c:pt>
                <c:pt idx="107">
                  <c:v>14</c:v>
                </c:pt>
                <c:pt idx="108">
                  <c:v>15</c:v>
                </c:pt>
                <c:pt idx="109">
                  <c:v>16</c:v>
                </c:pt>
                <c:pt idx="110">
                  <c:v>17</c:v>
                </c:pt>
                <c:pt idx="111">
                  <c:v>18</c:v>
                </c:pt>
                <c:pt idx="112">
                  <c:v>19</c:v>
                </c:pt>
                <c:pt idx="113">
                  <c:v>20</c:v>
                </c:pt>
                <c:pt idx="114">
                  <c:v>21</c:v>
                </c:pt>
                <c:pt idx="115">
                  <c:v>22</c:v>
                </c:pt>
                <c:pt idx="116">
                  <c:v>23</c:v>
                </c:pt>
                <c:pt idx="117">
                  <c:v>24</c:v>
                </c:pt>
                <c:pt idx="118">
                  <c:v>25</c:v>
                </c:pt>
                <c:pt idx="119">
                  <c:v>26</c:v>
                </c:pt>
                <c:pt idx="120">
                  <c:v>27</c:v>
                </c:pt>
                <c:pt idx="121">
                  <c:v>28</c:v>
                </c:pt>
                <c:pt idx="122">
                  <c:v>29</c:v>
                </c:pt>
                <c:pt idx="123">
                  <c:v>30</c:v>
                </c:pt>
                <c:pt idx="124">
                  <c:v>31</c:v>
                </c:pt>
                <c:pt idx="125">
                  <c:v>32</c:v>
                </c:pt>
                <c:pt idx="126">
                  <c:v>33</c:v>
                </c:pt>
                <c:pt idx="127">
                  <c:v>34</c:v>
                </c:pt>
                <c:pt idx="128">
                  <c:v>35</c:v>
                </c:pt>
                <c:pt idx="129">
                  <c:v>36</c:v>
                </c:pt>
                <c:pt idx="130">
                  <c:v>37</c:v>
                </c:pt>
                <c:pt idx="131">
                  <c:v>38</c:v>
                </c:pt>
                <c:pt idx="132">
                  <c:v>39</c:v>
                </c:pt>
                <c:pt idx="133">
                  <c:v>40</c:v>
                </c:pt>
                <c:pt idx="134">
                  <c:v>41</c:v>
                </c:pt>
                <c:pt idx="135">
                  <c:v>42</c:v>
                </c:pt>
                <c:pt idx="136">
                  <c:v>43</c:v>
                </c:pt>
                <c:pt idx="137">
                  <c:v>44</c:v>
                </c:pt>
                <c:pt idx="138">
                  <c:v>45</c:v>
                </c:pt>
                <c:pt idx="139">
                  <c:v>46</c:v>
                </c:pt>
                <c:pt idx="140">
                  <c:v>47</c:v>
                </c:pt>
                <c:pt idx="141">
                  <c:v>48</c:v>
                </c:pt>
                <c:pt idx="142">
                  <c:v>49</c:v>
                </c:pt>
                <c:pt idx="143">
                  <c:v>50</c:v>
                </c:pt>
                <c:pt idx="144">
                  <c:v>51</c:v>
                </c:pt>
                <c:pt idx="145">
                  <c:v>52</c:v>
                </c:pt>
                <c:pt idx="146">
                  <c:v>53</c:v>
                </c:pt>
                <c:pt idx="147">
                  <c:v>54</c:v>
                </c:pt>
                <c:pt idx="148">
                  <c:v>55</c:v>
                </c:pt>
                <c:pt idx="149">
                  <c:v>56</c:v>
                </c:pt>
                <c:pt idx="150">
                  <c:v>57</c:v>
                </c:pt>
                <c:pt idx="151">
                  <c:v>58</c:v>
                </c:pt>
                <c:pt idx="152">
                  <c:v>59</c:v>
                </c:pt>
                <c:pt idx="153">
                  <c:v>60</c:v>
                </c:pt>
                <c:pt idx="154">
                  <c:v>61</c:v>
                </c:pt>
                <c:pt idx="155">
                  <c:v>62</c:v>
                </c:pt>
                <c:pt idx="156">
                  <c:v>63</c:v>
                </c:pt>
                <c:pt idx="157">
                  <c:v>64</c:v>
                </c:pt>
                <c:pt idx="158">
                  <c:v>65</c:v>
                </c:pt>
                <c:pt idx="159">
                  <c:v>66</c:v>
                </c:pt>
                <c:pt idx="160">
                  <c:v>67</c:v>
                </c:pt>
                <c:pt idx="161">
                  <c:v>68</c:v>
                </c:pt>
                <c:pt idx="162">
                  <c:v>69</c:v>
                </c:pt>
                <c:pt idx="163">
                  <c:v>70</c:v>
                </c:pt>
                <c:pt idx="164">
                  <c:v>71</c:v>
                </c:pt>
                <c:pt idx="165">
                  <c:v>72</c:v>
                </c:pt>
                <c:pt idx="166">
                  <c:v>73</c:v>
                </c:pt>
                <c:pt idx="167">
                  <c:v>74</c:v>
                </c:pt>
                <c:pt idx="168">
                  <c:v>75</c:v>
                </c:pt>
                <c:pt idx="169">
                  <c:v>76</c:v>
                </c:pt>
                <c:pt idx="170">
                  <c:v>77</c:v>
                </c:pt>
                <c:pt idx="171">
                  <c:v>78</c:v>
                </c:pt>
                <c:pt idx="172">
                  <c:v>79</c:v>
                </c:pt>
                <c:pt idx="173">
                  <c:v>80</c:v>
                </c:pt>
                <c:pt idx="174">
                  <c:v>81</c:v>
                </c:pt>
                <c:pt idx="175">
                  <c:v>82</c:v>
                </c:pt>
                <c:pt idx="176">
                  <c:v>83</c:v>
                </c:pt>
                <c:pt idx="177">
                  <c:v>84</c:v>
                </c:pt>
                <c:pt idx="178">
                  <c:v>85</c:v>
                </c:pt>
                <c:pt idx="179">
                  <c:v>86</c:v>
                </c:pt>
                <c:pt idx="180">
                  <c:v>87</c:v>
                </c:pt>
                <c:pt idx="181">
                  <c:v>88</c:v>
                </c:pt>
                <c:pt idx="182">
                  <c:v>89</c:v>
                </c:pt>
                <c:pt idx="183">
                  <c:v>90</c:v>
                </c:pt>
              </c:numCache>
            </c:numRef>
          </c:xVal>
          <c:yVal>
            <c:numRef>
              <c:f>cosn!$M$4:$M$187</c:f>
              <c:numCache>
                <c:formatCode>0.00</c:formatCode>
                <c:ptCount val="184"/>
                <c:pt idx="0">
                  <c:v>3.2856574492373478E-6</c:v>
                </c:pt>
                <c:pt idx="1">
                  <c:v>4.343083322435166E-6</c:v>
                </c:pt>
                <c:pt idx="2">
                  <c:v>5.7229522049724446E-6</c:v>
                </c:pt>
                <c:pt idx="3">
                  <c:v>7.5177547897290968E-6</c:v>
                </c:pt>
                <c:pt idx="4">
                  <c:v>9.8446951572396325E-6</c:v>
                </c:pt>
                <c:pt idx="5">
                  <c:v>1.2851755921697797E-5</c:v>
                </c:pt>
                <c:pt idx="6">
                  <c:v>1.6725100832451434E-5</c:v>
                </c:pt>
                <c:pt idx="7">
                  <c:v>2.1698069709069969E-5</c:v>
                </c:pt>
                <c:pt idx="8">
                  <c:v>2.8062059109365606E-5</c:v>
                </c:pt>
                <c:pt idx="9">
                  <c:v>3.6179624043472693E-5</c:v>
                </c:pt>
                <c:pt idx="10">
                  <c:v>4.6500181040329523E-5</c:v>
                </c:pt>
                <c:pt idx="11">
                  <c:v>5.9578740429523322E-5</c:v>
                </c:pt>
                <c:pt idx="12">
                  <c:v>7.60981450615463E-5</c:v>
                </c:pt>
                <c:pt idx="13">
                  <c:v>9.6895342807194591E-5</c:v>
                </c:pt>
                <c:pt idx="14">
                  <c:v>1.2299226967785485E-4</c:v>
                </c:pt>
                <c:pt idx="15">
                  <c:v>1.5563196754935903E-4</c:v>
                </c:pt>
                <c:pt idx="16">
                  <c:v>1.9632060310363321E-4</c:v>
                </c:pt>
                <c:pt idx="17">
                  <c:v>2.468760901393659E-4</c:v>
                </c:pt>
                <c:pt idx="18">
                  <c:v>3.0948404280454068E-4</c:v>
                </c:pt>
                <c:pt idx="19">
                  <c:v>3.867617990672103E-4</c:v>
                </c:pt>
                <c:pt idx="20">
                  <c:v>4.8183124791345203E-4</c:v>
                </c:pt>
                <c:pt idx="21">
                  <c:v>5.9840116597345073E-4</c:v>
                </c:pt>
                <c:pt idx="22">
                  <c:v>7.4085971480158247E-4</c:v>
                </c:pt>
                <c:pt idx="23">
                  <c:v>9.1437766388058946E-4</c:v>
                </c:pt>
                <c:pt idx="24">
                  <c:v>1.1250227814466923E-3</c:v>
                </c:pt>
                <c:pt idx="25">
                  <c:v>1.379885670322223E-3</c:v>
                </c:pt>
                <c:pt idx="26">
                  <c:v>1.6872171141920865E-3</c:v>
                </c:pt>
                <c:pt idx="27">
                  <c:v>2.0565767367218338E-3</c:v>
                </c:pt>
                <c:pt idx="28">
                  <c:v>2.4989924578705035E-3</c:v>
                </c:pt>
                <c:pt idx="29">
                  <c:v>3.0271298560238073E-3</c:v>
                </c:pt>
                <c:pt idx="30">
                  <c:v>3.6554701098643798E-3</c:v>
                </c:pt>
                <c:pt idx="31">
                  <c:v>4.4004947006446157E-3</c:v>
                </c:pt>
                <c:pt idx="32">
                  <c:v>5.2808745062749157E-3</c:v>
                </c:pt>
                <c:pt idx="33">
                  <c:v>6.3176603183892309E-3</c:v>
                </c:pt>
                <c:pt idx="34">
                  <c:v>7.534471170099994E-3</c:v>
                </c:pt>
                <c:pt idx="35">
                  <c:v>8.9576761863939397E-3</c:v>
                </c:pt>
                <c:pt idx="39">
                  <c:v>1.0616564975249643E-2</c:v>
                </c:pt>
                <c:pt idx="40">
                  <c:v>1.2543500883227357E-2</c:v>
                </c:pt>
                <c:pt idx="41">
                  <c:v>1.4774050765611954E-2</c:v>
                </c:pt>
                <c:pt idx="42">
                  <c:v>1.734708429265823E-2</c:v>
                </c:pt>
                <c:pt idx="43">
                  <c:v>2.0304835257654582E-2</c:v>
                </c:pt>
                <c:pt idx="44">
                  <c:v>2.3692916899578035E-2</c:v>
                </c:pt>
                <c:pt idx="45">
                  <c:v>2.7560282935249758E-2</c:v>
                </c:pt>
                <c:pt idx="46">
                  <c:v>3.1959125846458332E-2</c:v>
                </c:pt>
                <c:pt idx="47">
                  <c:v>3.6944704019972761E-2</c:v>
                </c:pt>
                <c:pt idx="48">
                  <c:v>4.2575089625102466E-2</c:v>
                </c:pt>
                <c:pt idx="49">
                  <c:v>4.891082966439983E-2</c:v>
                </c:pt>
                <c:pt idx="50">
                  <c:v>5.6014513474192264E-2</c:v>
                </c:pt>
                <c:pt idx="51">
                  <c:v>6.3950241103259434E-2</c:v>
                </c:pt>
                <c:pt idx="52">
                  <c:v>7.2782988473336752E-2</c:v>
                </c:pt>
                <c:pt idx="53">
                  <c:v>8.2577867028647695E-2</c:v>
                </c:pt>
                <c:pt idx="54">
                  <c:v>9.3399277707508707E-2</c:v>
                </c:pt>
                <c:pt idx="55">
                  <c:v>0.10530996149983259</c:v>
                </c:pt>
                <c:pt idx="56">
                  <c:v>0.11836995156012713</c:v>
                </c:pt>
                <c:pt idx="57">
                  <c:v>0.13263543478318265</c:v>
                </c:pt>
                <c:pt idx="58">
                  <c:v>0.14815753386242878</c:v>
                </c:pt>
                <c:pt idx="59">
                  <c:v>0.16498102406912385</c:v>
                </c:pt>
                <c:pt idx="60">
                  <c:v>0.18314300223195479</c:v>
                </c:pt>
                <c:pt idx="61">
                  <c:v>0.20267152856820067</c:v>
                </c:pt>
                <c:pt idx="62">
                  <c:v>0.22358426501737388</c:v>
                </c:pt>
                <c:pt idx="63">
                  <c:v>0.2458871364479599</c:v>
                </c:pt>
                <c:pt idx="64">
                  <c:v>0.26957304343619598</c:v>
                </c:pt>
                <c:pt idx="65">
                  <c:v>0.29462065714200303</c:v>
                </c:pt>
                <c:pt idx="66">
                  <c:v>0.32099332802504382</c:v>
                </c:pt>
                <c:pt idx="67">
                  <c:v>0.34863814065616983</c:v>
                </c:pt>
                <c:pt idx="68">
                  <c:v>0.3774851466022292</c:v>
                </c:pt>
                <c:pt idx="69">
                  <c:v>0.40744680622892498</c:v>
                </c:pt>
                <c:pt idx="70">
                  <c:v>0.43841766823229861</c:v>
                </c:pt>
                <c:pt idx="71">
                  <c:v>0.47027431275480525</c:v>
                </c:pt>
                <c:pt idx="72">
                  <c:v>0.50287558007522504</c:v>
                </c:pt>
                <c:pt idx="73">
                  <c:v>0.53606310212134511</c:v>
                </c:pt>
                <c:pt idx="74">
                  <c:v>0.56966214851014052</c:v>
                </c:pt>
                <c:pt idx="75">
                  <c:v>0.60348279257294668</c:v>
                </c:pt>
                <c:pt idx="76">
                  <c:v>0.63732139600357707</c:v>
                </c:pt>
                <c:pt idx="77">
                  <c:v>0.67096240353362602</c:v>
                </c:pt>
                <c:pt idx="78">
                  <c:v>0.7041804315731105</c:v>
                </c:pt>
                <c:pt idx="79">
                  <c:v>0.73674262725672479</c:v>
                </c:pt>
                <c:pt idx="80">
                  <c:v>0.76841126701979257</c:v>
                </c:pt>
                <c:pt idx="81">
                  <c:v>0.79894655691312477</c:v>
                </c:pt>
                <c:pt idx="82">
                  <c:v>0.82810959057085953</c:v>
                </c:pt>
                <c:pt idx="83">
                  <c:v>0.85566541527947737</c:v>
                </c:pt>
                <c:pt idx="84">
                  <c:v>0.88138615215245386</c:v>
                </c:pt>
                <c:pt idx="85">
                  <c:v>0.90505411316220041</c:v>
                </c:pt>
                <c:pt idx="86">
                  <c:v>0.92646485585688521</c:v>
                </c:pt>
                <c:pt idx="87">
                  <c:v>0.94543011609531047</c:v>
                </c:pt>
                <c:pt idx="88">
                  <c:v>0.96178056012743718</c:v>
                </c:pt>
                <c:pt idx="89">
                  <c:v>0.97536829984550077</c:v>
                </c:pt>
                <c:pt idx="90">
                  <c:v>0.98606911899821237</c:v>
                </c:pt>
                <c:pt idx="91">
                  <c:v>0.99378436351867461</c:v>
                </c:pt>
                <c:pt idx="92">
                  <c:v>0.99844245574053236</c:v>
                </c:pt>
                <c:pt idx="93">
                  <c:v>1</c:v>
                </c:pt>
                <c:pt idx="94">
                  <c:v>0.99844245574053236</c:v>
                </c:pt>
                <c:pt idx="95">
                  <c:v>0.99378436351867461</c:v>
                </c:pt>
                <c:pt idx="96">
                  <c:v>0.98606911899821237</c:v>
                </c:pt>
                <c:pt idx="97">
                  <c:v>0.97536829984550077</c:v>
                </c:pt>
                <c:pt idx="98">
                  <c:v>0.96178056012743718</c:v>
                </c:pt>
                <c:pt idx="99">
                  <c:v>0.94543011609531047</c:v>
                </c:pt>
                <c:pt idx="100">
                  <c:v>0.92646485585688521</c:v>
                </c:pt>
                <c:pt idx="101">
                  <c:v>0.90505411316220041</c:v>
                </c:pt>
                <c:pt idx="102">
                  <c:v>0.88138615215245386</c:v>
                </c:pt>
                <c:pt idx="103">
                  <c:v>0.85566541527947737</c:v>
                </c:pt>
                <c:pt idx="104">
                  <c:v>0.82810959057085953</c:v>
                </c:pt>
                <c:pt idx="105">
                  <c:v>0.79894655691312477</c:v>
                </c:pt>
                <c:pt idx="106">
                  <c:v>0.76841126701979257</c:v>
                </c:pt>
                <c:pt idx="107">
                  <c:v>0.73674262725672479</c:v>
                </c:pt>
                <c:pt idx="108">
                  <c:v>0.7041804315731105</c:v>
                </c:pt>
                <c:pt idx="109">
                  <c:v>0.67096240353362602</c:v>
                </c:pt>
                <c:pt idx="110">
                  <c:v>0.63732139600357707</c:v>
                </c:pt>
                <c:pt idx="111">
                  <c:v>0.60348279257294668</c:v>
                </c:pt>
                <c:pt idx="112">
                  <c:v>0.56966214851014052</c:v>
                </c:pt>
                <c:pt idx="113">
                  <c:v>0.53606310212134511</c:v>
                </c:pt>
                <c:pt idx="114">
                  <c:v>0.50287558007522504</c:v>
                </c:pt>
                <c:pt idx="115">
                  <c:v>0.47027431275480525</c:v>
                </c:pt>
                <c:pt idx="116">
                  <c:v>0.43841766823229861</c:v>
                </c:pt>
                <c:pt idx="117">
                  <c:v>0.40744680622892498</c:v>
                </c:pt>
                <c:pt idx="118">
                  <c:v>0.3774851466022292</c:v>
                </c:pt>
                <c:pt idx="119">
                  <c:v>0.34863814065616983</c:v>
                </c:pt>
                <c:pt idx="120">
                  <c:v>0.32099332802504382</c:v>
                </c:pt>
                <c:pt idx="121">
                  <c:v>0.29462065714200303</c:v>
                </c:pt>
                <c:pt idx="122">
                  <c:v>0.26957304343619598</c:v>
                </c:pt>
                <c:pt idx="123">
                  <c:v>0.2458871364479599</c:v>
                </c:pt>
                <c:pt idx="124">
                  <c:v>0.22358426501737388</c:v>
                </c:pt>
                <c:pt idx="125">
                  <c:v>0.20267152856820067</c:v>
                </c:pt>
                <c:pt idx="126">
                  <c:v>0.18314300223195479</c:v>
                </c:pt>
                <c:pt idx="127">
                  <c:v>0.16498102406912385</c:v>
                </c:pt>
                <c:pt idx="128">
                  <c:v>0.14815753386242878</c:v>
                </c:pt>
                <c:pt idx="129">
                  <c:v>0.13263543478318265</c:v>
                </c:pt>
                <c:pt idx="130">
                  <c:v>0.11836995156012713</c:v>
                </c:pt>
                <c:pt idx="131">
                  <c:v>0.10530996149983259</c:v>
                </c:pt>
                <c:pt idx="132">
                  <c:v>9.3399277707508707E-2</c:v>
                </c:pt>
                <c:pt idx="133">
                  <c:v>8.2577867028647695E-2</c:v>
                </c:pt>
                <c:pt idx="134">
                  <c:v>7.2782988473336752E-2</c:v>
                </c:pt>
                <c:pt idx="135">
                  <c:v>6.3950241103259434E-2</c:v>
                </c:pt>
                <c:pt idx="136">
                  <c:v>5.6014513474192264E-2</c:v>
                </c:pt>
                <c:pt idx="137">
                  <c:v>4.891082966439983E-2</c:v>
                </c:pt>
                <c:pt idx="138">
                  <c:v>4.2575089625102466E-2</c:v>
                </c:pt>
                <c:pt idx="139">
                  <c:v>3.6944704019972761E-2</c:v>
                </c:pt>
                <c:pt idx="140">
                  <c:v>3.1959125846458332E-2</c:v>
                </c:pt>
                <c:pt idx="141">
                  <c:v>2.7560282935249758E-2</c:v>
                </c:pt>
                <c:pt idx="142">
                  <c:v>2.3692916899578035E-2</c:v>
                </c:pt>
                <c:pt idx="143">
                  <c:v>2.0304835257654582E-2</c:v>
                </c:pt>
                <c:pt idx="144">
                  <c:v>1.734708429265823E-2</c:v>
                </c:pt>
                <c:pt idx="145">
                  <c:v>1.4774050765611954E-2</c:v>
                </c:pt>
                <c:pt idx="146">
                  <c:v>1.2543500883227357E-2</c:v>
                </c:pt>
                <c:pt idx="147">
                  <c:v>1.0616564975249643E-2</c:v>
                </c:pt>
                <c:pt idx="148">
                  <c:v>8.9576761863939397E-3</c:v>
                </c:pt>
                <c:pt idx="149">
                  <c:v>7.534471170099994E-3</c:v>
                </c:pt>
                <c:pt idx="150">
                  <c:v>6.3176603183892309E-3</c:v>
                </c:pt>
                <c:pt idx="151">
                  <c:v>5.2808745062749157E-3</c:v>
                </c:pt>
                <c:pt idx="152">
                  <c:v>4.4004947006446157E-3</c:v>
                </c:pt>
                <c:pt idx="153">
                  <c:v>3.6554701098643798E-3</c:v>
                </c:pt>
                <c:pt idx="154">
                  <c:v>3.0271298560238073E-3</c:v>
                </c:pt>
                <c:pt idx="155">
                  <c:v>2.4989924578705035E-3</c:v>
                </c:pt>
                <c:pt idx="156">
                  <c:v>2.0565767367218338E-3</c:v>
                </c:pt>
                <c:pt idx="157">
                  <c:v>1.6872171141920865E-3</c:v>
                </c:pt>
                <c:pt idx="158">
                  <c:v>1.379885670322223E-3</c:v>
                </c:pt>
                <c:pt idx="159">
                  <c:v>1.1250227814466923E-3</c:v>
                </c:pt>
                <c:pt idx="160">
                  <c:v>9.1437766388058946E-4</c:v>
                </c:pt>
                <c:pt idx="161">
                  <c:v>7.4085971480158247E-4</c:v>
                </c:pt>
                <c:pt idx="162">
                  <c:v>5.9840116597345073E-4</c:v>
                </c:pt>
                <c:pt idx="163">
                  <c:v>4.8183124791345203E-4</c:v>
                </c:pt>
                <c:pt idx="164">
                  <c:v>3.867617990672103E-4</c:v>
                </c:pt>
                <c:pt idx="165">
                  <c:v>3.0948404280454068E-4</c:v>
                </c:pt>
                <c:pt idx="166">
                  <c:v>2.468760901393659E-4</c:v>
                </c:pt>
                <c:pt idx="167">
                  <c:v>1.9632060310363321E-4</c:v>
                </c:pt>
                <c:pt idx="168">
                  <c:v>1.5563196754935903E-4</c:v>
                </c:pt>
                <c:pt idx="169">
                  <c:v>1.2299226967785485E-4</c:v>
                </c:pt>
                <c:pt idx="170">
                  <c:v>9.6895342807194591E-5</c:v>
                </c:pt>
                <c:pt idx="171">
                  <c:v>7.60981450615463E-5</c:v>
                </c:pt>
                <c:pt idx="172">
                  <c:v>5.9578740429523322E-5</c:v>
                </c:pt>
                <c:pt idx="173">
                  <c:v>4.6500181040329523E-5</c:v>
                </c:pt>
                <c:pt idx="174">
                  <c:v>3.6179624043472693E-5</c:v>
                </c:pt>
                <c:pt idx="175">
                  <c:v>2.8062059109365606E-5</c:v>
                </c:pt>
                <c:pt idx="176">
                  <c:v>2.1698069709069969E-5</c:v>
                </c:pt>
                <c:pt idx="177">
                  <c:v>1.6725100832451434E-5</c:v>
                </c:pt>
                <c:pt idx="178">
                  <c:v>1.2851755921697797E-5</c:v>
                </c:pt>
                <c:pt idx="179">
                  <c:v>9.8446951572396325E-6</c:v>
                </c:pt>
                <c:pt idx="180">
                  <c:v>7.5177547897290968E-6</c:v>
                </c:pt>
                <c:pt idx="181">
                  <c:v>5.7229522049724446E-6</c:v>
                </c:pt>
                <c:pt idx="182">
                  <c:v>4.343083322435166E-6</c:v>
                </c:pt>
                <c:pt idx="183">
                  <c:v>3.2856574492373478E-6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5-4E02-A94C-F9A0F8EC1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390728"/>
        <c:axId val="694391712"/>
      </c:scatterChart>
      <c:valAx>
        <c:axId val="694390728"/>
        <c:scaling>
          <c:orientation val="minMax"/>
          <c:max val="90"/>
          <c:min val="-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4391712"/>
        <c:crosses val="autoZero"/>
        <c:crossBetween val="midCat"/>
        <c:majorUnit val="10"/>
      </c:valAx>
      <c:valAx>
        <c:axId val="694391712"/>
        <c:scaling>
          <c:orientation val="minMax"/>
          <c:max val="1.1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value</a:t>
                </a:r>
              </a:p>
              <a:p>
                <a:pPr>
                  <a:defRPr/>
                </a:pP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4390728"/>
        <c:crossesAt val="-90"/>
        <c:crossBetween val="midCat"/>
        <c:majorUnit val="0.1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5085258128274179"/>
          <c:y val="1.8312220772131363E-2"/>
          <c:w val="0.24065305970291251"/>
          <c:h val="0.29823865605156702"/>
        </c:manualLayout>
      </c:layout>
      <c:overlay val="1"/>
      <c:spPr>
        <a:solidFill>
          <a:schemeClr val="bg1">
            <a:alpha val="67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encircled energy</a:t>
            </a:r>
            <a:endParaRPr lang="de-D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cosn!$J$3</c:f>
              <c:strCache>
                <c:ptCount val="1"/>
                <c:pt idx="0">
                  <c:v>cos^1.00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cosn!$I$97:$I$187</c:f>
              <c:numCache>
                <c:formatCode>General</c:formatCod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numCache>
            </c:numRef>
          </c:xVal>
          <c:yVal>
            <c:numRef>
              <c:f>cosn!$U$97:$U$187</c:f>
              <c:numCache>
                <c:formatCode>0.00</c:formatCode>
                <c:ptCount val="91"/>
                <c:pt idx="0">
                  <c:v>0</c:v>
                </c:pt>
                <c:pt idx="1">
                  <c:v>3.0458649045206343E-4</c:v>
                </c:pt>
                <c:pt idx="2">
                  <c:v>1.2179748700877902E-3</c:v>
                </c:pt>
                <c:pt idx="3">
                  <c:v>2.7390523158634661E-3</c:v>
                </c:pt>
                <c:pt idx="4">
                  <c:v>4.86596562921493E-3</c:v>
                </c:pt>
                <c:pt idx="5">
                  <c:v>7.5961234938959343E-3</c:v>
                </c:pt>
                <c:pt idx="6">
                  <c:v>1.0926199633097267E-2</c:v>
                </c:pt>
                <c:pt idx="7">
                  <c:v>1.4852136862001819E-2</c:v>
                </c:pt>
                <c:pt idx="8">
                  <c:v>1.9369152030840442E-2</c:v>
                </c:pt>
                <c:pt idx="9">
                  <c:v>2.4471741852423179E-2</c:v>
                </c:pt>
                <c:pt idx="10">
                  <c:v>3.0153689607045897E-2</c:v>
                </c:pt>
                <c:pt idx="11">
                  <c:v>3.6408072716606288E-2</c:v>
                </c:pt>
                <c:pt idx="12">
                  <c:v>4.32272711786994E-2</c:v>
                </c:pt>
                <c:pt idx="13">
                  <c:v>5.0602976850416481E-2</c:v>
                </c:pt>
                <c:pt idx="14">
                  <c:v>5.8526203570536506E-2</c:v>
                </c:pt>
                <c:pt idx="15">
                  <c:v>6.6987298107780591E-2</c:v>
                </c:pt>
                <c:pt idx="16">
                  <c:v>7.5975951921786966E-2</c:v>
                </c:pt>
                <c:pt idx="17">
                  <c:v>8.5481213722479188E-2</c:v>
                </c:pt>
                <c:pt idx="18">
                  <c:v>9.5491502812526385E-2</c:v>
                </c:pt>
                <c:pt idx="19">
                  <c:v>0.10599462319663899</c:v>
                </c:pt>
                <c:pt idx="20">
                  <c:v>0.11697777844051094</c:v>
                </c:pt>
                <c:pt idx="21">
                  <c:v>0.12842758726130288</c:v>
                </c:pt>
                <c:pt idx="22">
                  <c:v>0.14033009983067435</c:v>
                </c:pt>
                <c:pt idx="23">
                  <c:v>0.15267081477050126</c:v>
                </c:pt>
                <c:pt idx="24">
                  <c:v>0.16543469682057099</c:v>
                </c:pt>
                <c:pt idx="25">
                  <c:v>0.17860619515673037</c:v>
                </c:pt>
                <c:pt idx="26">
                  <c:v>0.1921692623371708</c:v>
                </c:pt>
                <c:pt idx="27">
                  <c:v>0.20610737385376332</c:v>
                </c:pt>
                <c:pt idx="28">
                  <c:v>0.22040354826462649</c:v>
                </c:pt>
                <c:pt idx="29">
                  <c:v>0.23504036788339766</c:v>
                </c:pt>
                <c:pt idx="30">
                  <c:v>0.24999999999999989</c:v>
                </c:pt>
                <c:pt idx="31">
                  <c:v>0.26526421860705451</c:v>
                </c:pt>
                <c:pt idx="32">
                  <c:v>0.2808144266054613</c:v>
                </c:pt>
                <c:pt idx="33">
                  <c:v>0.29663167846209981</c:v>
                </c:pt>
                <c:pt idx="34">
                  <c:v>0.31269670329204413</c:v>
                </c:pt>
                <c:pt idx="35">
                  <c:v>0.32898992833716567</c:v>
                </c:pt>
                <c:pt idx="36">
                  <c:v>0.34549150281252627</c:v>
                </c:pt>
                <c:pt idx="37">
                  <c:v>0.36218132209150045</c:v>
                </c:pt>
                <c:pt idx="38">
                  <c:v>0.37903905220016609</c:v>
                </c:pt>
                <c:pt idx="39">
                  <c:v>0.3960441545911203</c:v>
                </c:pt>
                <c:pt idx="40">
                  <c:v>0.41317591116653485</c:v>
                </c:pt>
                <c:pt idx="41">
                  <c:v>0.43041344951996707</c:v>
                </c:pt>
                <c:pt idx="42">
                  <c:v>0.44773576836617324</c:v>
                </c:pt>
                <c:pt idx="43">
                  <c:v>0.46512176312793718</c:v>
                </c:pt>
                <c:pt idx="44">
                  <c:v>0.48255025164874943</c:v>
                </c:pt>
                <c:pt idx="45">
                  <c:v>0.49999999999999989</c:v>
                </c:pt>
                <c:pt idx="46">
                  <c:v>0.51744974835125035</c:v>
                </c:pt>
                <c:pt idx="47">
                  <c:v>0.53487823687206271</c:v>
                </c:pt>
                <c:pt idx="48">
                  <c:v>0.55226423163382665</c:v>
                </c:pt>
                <c:pt idx="49">
                  <c:v>0.56958655048003282</c:v>
                </c:pt>
                <c:pt idx="50">
                  <c:v>0.58682408883346515</c:v>
                </c:pt>
                <c:pt idx="51">
                  <c:v>0.60395584540887959</c:v>
                </c:pt>
                <c:pt idx="52">
                  <c:v>0.62096094779983391</c:v>
                </c:pt>
                <c:pt idx="53">
                  <c:v>0.63781867790849955</c:v>
                </c:pt>
                <c:pt idx="54">
                  <c:v>0.65450849718747373</c:v>
                </c:pt>
                <c:pt idx="55">
                  <c:v>0.67101007166283422</c:v>
                </c:pt>
                <c:pt idx="56">
                  <c:v>0.68730329670795598</c:v>
                </c:pt>
                <c:pt idx="57">
                  <c:v>0.70336832153789997</c:v>
                </c:pt>
                <c:pt idx="58">
                  <c:v>0.7191855733945387</c:v>
                </c:pt>
                <c:pt idx="59">
                  <c:v>0.73473578139294515</c:v>
                </c:pt>
                <c:pt idx="60">
                  <c:v>0.74999999999999989</c:v>
                </c:pt>
                <c:pt idx="61">
                  <c:v>0.76495963211660234</c:v>
                </c:pt>
                <c:pt idx="62">
                  <c:v>0.77959645173537329</c:v>
                </c:pt>
                <c:pt idx="63">
                  <c:v>0.79389262614623657</c:v>
                </c:pt>
                <c:pt idx="64">
                  <c:v>0.80783073766282909</c:v>
                </c:pt>
                <c:pt idx="65">
                  <c:v>0.82139380484326963</c:v>
                </c:pt>
                <c:pt idx="66">
                  <c:v>0.83456530317942912</c:v>
                </c:pt>
                <c:pt idx="67">
                  <c:v>0.84732918522949852</c:v>
                </c:pt>
                <c:pt idx="68">
                  <c:v>0.85966990016932565</c:v>
                </c:pt>
                <c:pt idx="69">
                  <c:v>0.87157241273869701</c:v>
                </c:pt>
                <c:pt idx="70">
                  <c:v>0.88302222155948895</c:v>
                </c:pt>
                <c:pt idx="71">
                  <c:v>0.8940053768033609</c:v>
                </c:pt>
                <c:pt idx="72">
                  <c:v>0.90450849718747373</c:v>
                </c:pt>
                <c:pt idx="73">
                  <c:v>0.91451878627752081</c:v>
                </c:pt>
                <c:pt idx="74">
                  <c:v>0.92402404807821303</c:v>
                </c:pt>
                <c:pt idx="75">
                  <c:v>0.9330127018922193</c:v>
                </c:pt>
                <c:pt idx="76">
                  <c:v>0.94147379642946338</c:v>
                </c:pt>
                <c:pt idx="77">
                  <c:v>0.94939702314958352</c:v>
                </c:pt>
                <c:pt idx="78">
                  <c:v>0.95677272882130038</c:v>
                </c:pt>
                <c:pt idx="79">
                  <c:v>0.96359192728339371</c:v>
                </c:pt>
                <c:pt idx="80">
                  <c:v>0.96984631039295421</c:v>
                </c:pt>
                <c:pt idx="81">
                  <c:v>0.97552825814757682</c:v>
                </c:pt>
                <c:pt idx="82">
                  <c:v>0.98063084796915934</c:v>
                </c:pt>
                <c:pt idx="83">
                  <c:v>0.98514786313799818</c:v>
                </c:pt>
                <c:pt idx="84">
                  <c:v>0.98907380036690284</c:v>
                </c:pt>
                <c:pt idx="85">
                  <c:v>0.99240387650610407</c:v>
                </c:pt>
                <c:pt idx="86">
                  <c:v>0.99513403437078518</c:v>
                </c:pt>
                <c:pt idx="87">
                  <c:v>0.99726094768413664</c:v>
                </c:pt>
                <c:pt idx="88">
                  <c:v>0.9987820251299121</c:v>
                </c:pt>
                <c:pt idx="89">
                  <c:v>0.99969541350954783</c:v>
                </c:pt>
                <c:pt idx="9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D1-49D2-B850-EBD38247BBF4}"/>
            </c:ext>
          </c:extLst>
        </c:ser>
        <c:ser>
          <c:idx val="0"/>
          <c:order val="1"/>
          <c:tx>
            <c:v>half width half max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cosn!$U$91:$U$92</c:f>
              <c:numCache>
                <c:formatCode>0.00</c:formatCode>
                <c:ptCount val="2"/>
                <c:pt idx="0">
                  <c:v>59.999999997707086</c:v>
                </c:pt>
                <c:pt idx="1">
                  <c:v>59.999999997707086</c:v>
                </c:pt>
              </c:numCache>
            </c:numRef>
          </c:xVal>
          <c:yVal>
            <c:numRef>
              <c:f>cosn!$V$91:$V$92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D1-49D2-B850-EBD38247B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390728"/>
        <c:axId val="694391712"/>
      </c:scatterChart>
      <c:valAx>
        <c:axId val="694390728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alpha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4391712"/>
        <c:crosses val="autoZero"/>
        <c:crossBetween val="midCat"/>
        <c:majorUnit val="10"/>
      </c:valAx>
      <c:valAx>
        <c:axId val="694391712"/>
        <c:scaling>
          <c:orientation val="minMax"/>
          <c:max val="1.1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value</a:t>
                </a:r>
              </a:p>
              <a:p>
                <a:pPr>
                  <a:defRPr/>
                </a:pP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4390728"/>
        <c:crossesAt val="-90"/>
        <c:crossBetween val="midCat"/>
        <c:majorUnit val="0.1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5085258128274179"/>
          <c:y val="1.8312220772131363E-2"/>
          <c:w val="0.24914738184317289"/>
          <c:h val="0.11624071809616326"/>
        </c:manualLayout>
      </c:layout>
      <c:overlay val="1"/>
      <c:spPr>
        <a:solidFill>
          <a:schemeClr val="bg1">
            <a:alpha val="67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19271</xdr:colOff>
      <xdr:row>22</xdr:row>
      <xdr:rowOff>121479</xdr:rowOff>
    </xdr:from>
    <xdr:to>
      <xdr:col>6</xdr:col>
      <xdr:colOff>451899</xdr:colOff>
      <xdr:row>42</xdr:row>
      <xdr:rowOff>160020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1669CE0-1035-427D-98F4-61E02E105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163985</xdr:colOff>
      <xdr:row>0</xdr:row>
      <xdr:rowOff>39078</xdr:rowOff>
    </xdr:from>
    <xdr:to>
      <xdr:col>0</xdr:col>
      <xdr:colOff>693617</xdr:colOff>
      <xdr:row>0</xdr:row>
      <xdr:rowOff>510308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67F9B576-C741-46C9-BF5F-93A1A460F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985" y="39078"/>
          <a:ext cx="529632" cy="471230"/>
        </a:xfrm>
        <a:prstGeom prst="rect">
          <a:avLst/>
        </a:prstGeom>
      </xdr:spPr>
    </xdr:pic>
    <xdr:clientData/>
  </xdr:twoCellAnchor>
  <xdr:twoCellAnchor>
    <xdr:from>
      <xdr:col>0</xdr:col>
      <xdr:colOff>347382</xdr:colOff>
      <xdr:row>63</xdr:row>
      <xdr:rowOff>134470</xdr:rowOff>
    </xdr:from>
    <xdr:to>
      <xdr:col>5</xdr:col>
      <xdr:colOff>434764</xdr:colOff>
      <xdr:row>83</xdr:row>
      <xdr:rowOff>11887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57BA52B3-10FB-4EEA-B2B1-307114354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257736</xdr:colOff>
      <xdr:row>51</xdr:row>
      <xdr:rowOff>78441</xdr:rowOff>
    </xdr:from>
    <xdr:to>
      <xdr:col>4</xdr:col>
      <xdr:colOff>433783</xdr:colOff>
      <xdr:row>53</xdr:row>
      <xdr:rowOff>67279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6B877845-DB59-4BBB-96EC-6CC60E535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736" y="9513794"/>
          <a:ext cx="3313206" cy="3698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34</xdr:row>
      <xdr:rowOff>171450</xdr:rowOff>
    </xdr:from>
    <xdr:to>
      <xdr:col>5</xdr:col>
      <xdr:colOff>198531</xdr:colOff>
      <xdr:row>36</xdr:row>
      <xdr:rowOff>160288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F421225-B7CC-4EC4-943B-039E7DE01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6648450"/>
          <a:ext cx="3313206" cy="369838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3</xdr:row>
      <xdr:rowOff>104775</xdr:rowOff>
    </xdr:from>
    <xdr:to>
      <xdr:col>5</xdr:col>
      <xdr:colOff>733042</xdr:colOff>
      <xdr:row>13</xdr:row>
      <xdr:rowOff>104537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DE2777F6-B4A5-4CF7-B6B7-5E4B69590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75" y="676275"/>
          <a:ext cx="3066667" cy="1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466725</xdr:colOff>
      <xdr:row>13</xdr:row>
      <xdr:rowOff>161925</xdr:rowOff>
    </xdr:from>
    <xdr:to>
      <xdr:col>6</xdr:col>
      <xdr:colOff>561568</xdr:colOff>
      <xdr:row>22</xdr:row>
      <xdr:rowOff>37901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3401E47C-8131-4C9F-8D07-E4932D6AF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28825" y="2638425"/>
          <a:ext cx="3257143" cy="15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638175</xdr:colOff>
      <xdr:row>23</xdr:row>
      <xdr:rowOff>57150</xdr:rowOff>
    </xdr:from>
    <xdr:to>
      <xdr:col>8</xdr:col>
      <xdr:colOff>599412</xdr:colOff>
      <xdr:row>32</xdr:row>
      <xdr:rowOff>142650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FBEBA52D-D68E-4B3A-93D8-28709DE95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0275" y="4438650"/>
          <a:ext cx="5304762" cy="1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unlicense.org/" TargetMode="External"/><Relationship Id="rId1" Type="http://schemas.openxmlformats.org/officeDocument/2006/relationships/hyperlink" Target="mailto:julius@jmoptics.d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C05D-CEFD-4AAE-B808-ECAECDB41AE1}">
  <dimension ref="A1:V187"/>
  <sheetViews>
    <sheetView tabSelected="1" topLeftCell="A2" zoomScaleNormal="100" workbookViewId="0">
      <selection activeCell="A21" sqref="A21"/>
    </sheetView>
  </sheetViews>
  <sheetFormatPr defaultColWidth="11.5546875" defaultRowHeight="14.4" x14ac:dyDescent="0.3"/>
  <cols>
    <col min="1" max="1" width="14.109375" customWidth="1"/>
    <col min="2" max="2" width="12.88671875" customWidth="1"/>
    <col min="3" max="3" width="8.5546875" bestFit="1" customWidth="1"/>
    <col min="4" max="4" width="11.33203125" customWidth="1"/>
    <col min="5" max="5" width="10.88671875" customWidth="1"/>
    <col min="6" max="6" width="11" customWidth="1"/>
    <col min="8" max="8" width="11.44140625" style="25"/>
    <col min="9" max="9" width="5.44140625" bestFit="1" customWidth="1"/>
    <col min="10" max="10" width="8.109375" bestFit="1" customWidth="1"/>
    <col min="11" max="11" width="10.109375" bestFit="1" customWidth="1"/>
    <col min="12" max="12" width="8.109375" bestFit="1" customWidth="1"/>
    <col min="13" max="13" width="8.109375" style="30" customWidth="1"/>
    <col min="15" max="15" width="4.6640625" bestFit="1" customWidth="1"/>
    <col min="17" max="17" width="9.44140625" customWidth="1"/>
    <col min="21" max="21" width="12.33203125" bestFit="1" customWidth="1"/>
  </cols>
  <sheetData>
    <row r="1" spans="1:21" ht="41.4" x14ac:dyDescent="0.7">
      <c r="B1" s="1" t="s">
        <v>6</v>
      </c>
      <c r="I1" s="26" t="s">
        <v>73</v>
      </c>
    </row>
    <row r="2" spans="1:21" ht="16.2" x14ac:dyDescent="0.3">
      <c r="A2" t="s">
        <v>20</v>
      </c>
      <c r="Q2" t="s">
        <v>33</v>
      </c>
      <c r="U2" t="s">
        <v>38</v>
      </c>
    </row>
    <row r="3" spans="1:21" ht="16.2" x14ac:dyDescent="0.3">
      <c r="A3" t="s">
        <v>7</v>
      </c>
      <c r="I3" t="s">
        <v>21</v>
      </c>
      <c r="J3" s="14" t="str">
        <f>"cos^"&amp;TEXT(B15,"0.00")</f>
        <v>cos^1.00</v>
      </c>
      <c r="K3" s="15" t="str">
        <f>"FWHM "&amp;TEXT(D16,"0.0")&amp;"°"</f>
        <v>FWHM 16.0°</v>
      </c>
      <c r="L3" s="16" t="str">
        <f>"I0/Phi "&amp;TEXT(E18,"0.00")&amp;" cd/lm"</f>
        <v>I0/Phi 20.00 cd/lm</v>
      </c>
      <c r="M3" s="30" t="str">
        <f>"sigma "&amp;TEXT(F19,"0.00")&amp;"°"</f>
        <v>sigma 17.91°</v>
      </c>
      <c r="O3" t="s">
        <v>14</v>
      </c>
      <c r="Q3" t="s">
        <v>34</v>
      </c>
      <c r="R3" t="s">
        <v>35</v>
      </c>
      <c r="U3" t="str">
        <f>"1 - cos^"&amp;TEXT(B15+1,"0.00")</f>
        <v>1 - cos^2.00</v>
      </c>
    </row>
    <row r="4" spans="1:21" x14ac:dyDescent="0.3">
      <c r="A4" t="s">
        <v>8</v>
      </c>
      <c r="I4">
        <v>-90</v>
      </c>
      <c r="J4" s="17">
        <f t="shared" ref="J4:J35" si="0">$O4^$B$15</f>
        <v>6.1257422745431001E-17</v>
      </c>
      <c r="K4" s="19">
        <f t="shared" ref="K4:K35" si="1">$O4^D$15</f>
        <v>0</v>
      </c>
      <c r="L4" s="20">
        <f t="shared" ref="L4:L35" si="2">$O4^E$15</f>
        <v>0</v>
      </c>
      <c r="M4" s="31">
        <f>EXP(-0.5*(I4^2)/(F$19^2))</f>
        <v>3.2856574492373478E-6</v>
      </c>
      <c r="O4" s="18">
        <f t="shared" ref="O4:O35" si="3">COS(I4*PI()/180)</f>
        <v>6.1257422745431001E-17</v>
      </c>
      <c r="Q4" s="18">
        <f t="shared" ref="Q4:Q35" si="4">$O4^($B$15+1)</f>
        <v>3.7524718414124473E-33</v>
      </c>
      <c r="R4" s="18">
        <f t="shared" ref="R4:R35" si="5">+(Q5-Q4)/(($B$15+1)*(O5-O4))</f>
        <v>8.7262032186417194E-3</v>
      </c>
    </row>
    <row r="5" spans="1:21" x14ac:dyDescent="0.3">
      <c r="A5" t="s">
        <v>9</v>
      </c>
      <c r="I5">
        <v>-89</v>
      </c>
      <c r="J5" s="17">
        <f t="shared" si="0"/>
        <v>1.7452406437283376E-2</v>
      </c>
      <c r="K5" s="19">
        <f t="shared" si="1"/>
        <v>2.4445743601939591E-125</v>
      </c>
      <c r="L5" s="20">
        <f t="shared" si="2"/>
        <v>6.6553064525861618E-220</v>
      </c>
      <c r="M5" s="31">
        <f t="shared" ref="M5:M71" si="6">EXP(-0.5*(I5^2)/(F$19^2))</f>
        <v>4.343083322435166E-6</v>
      </c>
      <c r="O5" s="18">
        <f t="shared" si="3"/>
        <v>1.7452406437283376E-2</v>
      </c>
      <c r="Q5" s="18">
        <f t="shared" si="4"/>
        <v>3.0458649045213022E-4</v>
      </c>
      <c r="R5" s="18">
        <f t="shared" si="5"/>
        <v>2.617595156989223E-2</v>
      </c>
    </row>
    <row r="6" spans="1:21" x14ac:dyDescent="0.3">
      <c r="A6" t="s">
        <v>10</v>
      </c>
      <c r="I6">
        <v>-88</v>
      </c>
      <c r="J6" s="17">
        <f t="shared" si="0"/>
        <v>3.489949670250108E-2</v>
      </c>
      <c r="K6" s="19">
        <f t="shared" si="1"/>
        <v>5.2429945828898957E-104</v>
      </c>
      <c r="L6" s="20">
        <f t="shared" si="2"/>
        <v>2.2000697507748135E-182</v>
      </c>
      <c r="M6" s="31">
        <f t="shared" si="6"/>
        <v>5.7229522049724446E-6</v>
      </c>
      <c r="O6" s="18">
        <f t="shared" si="3"/>
        <v>3.489949670250108E-2</v>
      </c>
      <c r="Q6" s="18">
        <f t="shared" si="4"/>
        <v>1.2179748700878838E-3</v>
      </c>
      <c r="R6" s="18">
        <f t="shared" si="5"/>
        <v>4.3617726472722523E-2</v>
      </c>
    </row>
    <row r="7" spans="1:21" ht="16.2" x14ac:dyDescent="0.3">
      <c r="A7" t="s">
        <v>19</v>
      </c>
      <c r="I7">
        <v>-87</v>
      </c>
      <c r="J7" s="17">
        <f t="shared" si="0"/>
        <v>5.2335956242943966E-2</v>
      </c>
      <c r="K7" s="19">
        <f t="shared" si="1"/>
        <v>1.5579816002341329E-91</v>
      </c>
      <c r="L7" s="20">
        <f t="shared" si="2"/>
        <v>1.9093260296600805E-160</v>
      </c>
      <c r="M7" s="31">
        <f t="shared" si="6"/>
        <v>7.5177547897290968E-6</v>
      </c>
      <c r="O7" s="18">
        <f t="shared" si="3"/>
        <v>5.2335956242943966E-2</v>
      </c>
      <c r="Q7" s="18">
        <f t="shared" si="4"/>
        <v>2.7390523158633455E-3</v>
      </c>
      <c r="R7" s="18">
        <f t="shared" si="5"/>
        <v>6.1046214993534714E-2</v>
      </c>
    </row>
    <row r="8" spans="1:21" x14ac:dyDescent="0.3">
      <c r="I8">
        <v>-86</v>
      </c>
      <c r="J8" s="17">
        <f t="shared" si="0"/>
        <v>6.9756473744125455E-2</v>
      </c>
      <c r="K8" s="19">
        <f t="shared" si="1"/>
        <v>1.0886471808131194E-82</v>
      </c>
      <c r="L8" s="20">
        <f t="shared" si="2"/>
        <v>6.8700552873353006E-145</v>
      </c>
      <c r="M8" s="31">
        <f t="shared" si="6"/>
        <v>9.8446951572396325E-6</v>
      </c>
      <c r="O8" s="18">
        <f t="shared" si="3"/>
        <v>6.9756473744125455E-2</v>
      </c>
      <c r="Q8" s="18">
        <f t="shared" si="4"/>
        <v>4.8659656292148641E-3</v>
      </c>
      <c r="R8" s="18">
        <f t="shared" si="5"/>
        <v>7.845610824589179E-2</v>
      </c>
    </row>
    <row r="9" spans="1:21" x14ac:dyDescent="0.3">
      <c r="A9" s="2" t="s">
        <v>11</v>
      </c>
      <c r="B9" s="3" t="s">
        <v>12</v>
      </c>
      <c r="I9">
        <v>-85</v>
      </c>
      <c r="J9" s="17">
        <f t="shared" si="0"/>
        <v>8.7155742747658138E-2</v>
      </c>
      <c r="K9" s="19">
        <f t="shared" si="1"/>
        <v>7.7892403486357351E-76</v>
      </c>
      <c r="L9" s="20">
        <f t="shared" si="2"/>
        <v>7.8229937499689557E-133</v>
      </c>
      <c r="M9" s="31">
        <f t="shared" si="6"/>
        <v>1.2851755921697797E-5</v>
      </c>
      <c r="O9" s="18">
        <f t="shared" si="3"/>
        <v>8.7155742747658138E-2</v>
      </c>
      <c r="Q9" s="18">
        <f t="shared" si="4"/>
        <v>7.5961234938959638E-3</v>
      </c>
      <c r="R9" s="18">
        <f t="shared" si="5"/>
        <v>9.5842103007655804E-2</v>
      </c>
    </row>
    <row r="10" spans="1:21" x14ac:dyDescent="0.3">
      <c r="A10" s="6" t="s">
        <v>13</v>
      </c>
      <c r="I10">
        <v>-84</v>
      </c>
      <c r="J10" s="17">
        <f t="shared" si="0"/>
        <v>0.10452846326765346</v>
      </c>
      <c r="K10" s="19">
        <f t="shared" si="1"/>
        <v>3.0648779189638164E-70</v>
      </c>
      <c r="L10" s="20">
        <f t="shared" si="2"/>
        <v>5.4218324716203396E-123</v>
      </c>
      <c r="M10" s="31">
        <f t="shared" si="6"/>
        <v>1.6725100832451434E-5</v>
      </c>
      <c r="O10" s="18">
        <f t="shared" si="3"/>
        <v>0.10452846326765346</v>
      </c>
      <c r="Q10" s="18">
        <f t="shared" si="4"/>
        <v>1.0926199633097178E-2</v>
      </c>
      <c r="R10" s="18">
        <f t="shared" si="5"/>
        <v>0.11319890333640045</v>
      </c>
    </row>
    <row r="11" spans="1:21" x14ac:dyDescent="0.3">
      <c r="A11" s="6" t="s">
        <v>18</v>
      </c>
      <c r="I11">
        <v>-83</v>
      </c>
      <c r="J11" s="17">
        <f t="shared" si="0"/>
        <v>0.12186934340514749</v>
      </c>
      <c r="K11" s="19">
        <f t="shared" si="1"/>
        <v>1.6257689559823468E-65</v>
      </c>
      <c r="L11" s="20">
        <f t="shared" si="2"/>
        <v>1.1071768202863479E-114</v>
      </c>
      <c r="M11" s="31">
        <f t="shared" si="6"/>
        <v>2.1698069709069969E-5</v>
      </c>
      <c r="O11" s="18">
        <f t="shared" si="3"/>
        <v>0.12186934340514749</v>
      </c>
      <c r="Q11" s="18">
        <f t="shared" si="4"/>
        <v>1.4852136862001765E-2</v>
      </c>
      <c r="R11" s="18">
        <f t="shared" si="5"/>
        <v>0.13052122218260659</v>
      </c>
    </row>
    <row r="12" spans="1:21" x14ac:dyDescent="0.3">
      <c r="I12">
        <v>-82</v>
      </c>
      <c r="J12" s="17">
        <f t="shared" si="0"/>
        <v>0.13917310096006569</v>
      </c>
      <c r="K12" s="19">
        <f t="shared" si="1"/>
        <v>1.9855385563197709E-61</v>
      </c>
      <c r="L12" s="20">
        <f t="shared" si="2"/>
        <v>1.7077727896484474E-107</v>
      </c>
      <c r="M12" s="31">
        <f t="shared" si="6"/>
        <v>2.8062059109365606E-5</v>
      </c>
      <c r="O12" s="18">
        <f t="shared" si="3"/>
        <v>0.13917310096006569</v>
      </c>
      <c r="Q12" s="18">
        <f t="shared" si="4"/>
        <v>1.9369152030840636E-2</v>
      </c>
      <c r="R12" s="18">
        <f t="shared" si="5"/>
        <v>0.14780378300014832</v>
      </c>
    </row>
    <row r="13" spans="1:21" ht="15" thickBot="1" x14ac:dyDescent="0.35">
      <c r="B13" s="10"/>
      <c r="D13" s="8"/>
      <c r="E13" s="7"/>
      <c r="I13">
        <v>-81</v>
      </c>
      <c r="J13" s="17">
        <f t="shared" si="0"/>
        <v>0.15643446504023092</v>
      </c>
      <c r="K13" s="19">
        <f t="shared" si="1"/>
        <v>7.8850240872812441E-58</v>
      </c>
      <c r="L13" s="20">
        <f t="shared" si="2"/>
        <v>3.6517094879466687E-101</v>
      </c>
      <c r="M13" s="31">
        <f t="shared" si="6"/>
        <v>3.6179624043472693E-5</v>
      </c>
      <c r="O13" s="18">
        <f t="shared" si="3"/>
        <v>0.15643446504023092</v>
      </c>
      <c r="Q13" s="18">
        <f t="shared" si="4"/>
        <v>2.4471741852423231E-2</v>
      </c>
      <c r="R13" s="18">
        <f t="shared" si="5"/>
        <v>0.16504132135358068</v>
      </c>
    </row>
    <row r="14" spans="1:21" ht="15.6" thickTop="1" thickBot="1" x14ac:dyDescent="0.35">
      <c r="A14" s="13"/>
      <c r="B14" s="12" t="s">
        <v>15</v>
      </c>
      <c r="C14" s="11"/>
      <c r="D14" s="9" t="s">
        <v>16</v>
      </c>
      <c r="E14" s="28" t="s">
        <v>17</v>
      </c>
      <c r="F14" s="29" t="s">
        <v>76</v>
      </c>
      <c r="I14">
        <v>-80</v>
      </c>
      <c r="J14" s="17">
        <f t="shared" si="0"/>
        <v>0.17364817766693041</v>
      </c>
      <c r="K14" s="19">
        <f t="shared" si="1"/>
        <v>1.2888539247859851E-54</v>
      </c>
      <c r="L14" s="20">
        <f t="shared" si="2"/>
        <v>1.6386001185410966E-95</v>
      </c>
      <c r="M14" s="31">
        <f t="shared" si="6"/>
        <v>4.6500181040329523E-5</v>
      </c>
      <c r="O14" s="18">
        <f t="shared" si="3"/>
        <v>0.17364817766693041</v>
      </c>
      <c r="Q14" s="18">
        <f t="shared" si="4"/>
        <v>3.0153689607045831E-2</v>
      </c>
      <c r="R14" s="18">
        <f t="shared" si="5"/>
        <v>0.18222858652173757</v>
      </c>
    </row>
    <row r="15" spans="1:21" ht="15" thickTop="1" x14ac:dyDescent="0.3">
      <c r="A15" t="s">
        <v>1</v>
      </c>
      <c r="B15" s="4">
        <v>1</v>
      </c>
      <c r="D15" s="5">
        <f>LOG(0.5)/LOG(COS(D16/2*PI()/180))</f>
        <v>70.876872679127558</v>
      </c>
      <c r="E15" s="5">
        <f>+(2*PI()*E18-1)</f>
        <v>124.66370614359172</v>
      </c>
      <c r="F15" s="5">
        <f>LOG(0.5)/LOG(COS(F16/2*PI()/180))</f>
        <v>9.9999386713415426</v>
      </c>
      <c r="I15">
        <v>-79</v>
      </c>
      <c r="J15" s="17">
        <f t="shared" si="0"/>
        <v>0.19080899537654492</v>
      </c>
      <c r="K15" s="19">
        <f t="shared" si="1"/>
        <v>1.0258785005006591E-51</v>
      </c>
      <c r="L15" s="20">
        <f t="shared" si="2"/>
        <v>2.0738904299472503E-90</v>
      </c>
      <c r="M15" s="31">
        <f t="shared" si="6"/>
        <v>5.9578740429523322E-5</v>
      </c>
      <c r="O15" s="18">
        <f t="shared" si="3"/>
        <v>0.19080899537654492</v>
      </c>
      <c r="Q15" s="18">
        <f t="shared" si="4"/>
        <v>3.6408072716606336E-2</v>
      </c>
      <c r="R15" s="18">
        <f t="shared" si="5"/>
        <v>0.19936034309715228</v>
      </c>
    </row>
    <row r="16" spans="1:21" x14ac:dyDescent="0.3">
      <c r="A16" t="s">
        <v>2</v>
      </c>
      <c r="B16" s="5">
        <f>2*ACOS(0.5^(1/(B15+0.0000000001)))*180/PI()</f>
        <v>119.99999999541417</v>
      </c>
      <c r="C16" t="s">
        <v>0</v>
      </c>
      <c r="D16" s="4">
        <v>16</v>
      </c>
      <c r="E16" s="5">
        <f>2*ACOS(0.5^(1/(E15+0.0000000001)))*180/PI()</f>
        <v>12.07279452094439</v>
      </c>
      <c r="F16" s="5">
        <f>2*F19*SQRT(LN(4))</f>
        <v>42.174827006504302</v>
      </c>
      <c r="G16" t="s">
        <v>0</v>
      </c>
      <c r="I16">
        <v>-78</v>
      </c>
      <c r="J16" s="17">
        <f t="shared" si="0"/>
        <v>0.20791169081775945</v>
      </c>
      <c r="K16" s="19">
        <f t="shared" si="1"/>
        <v>4.5018432797075267E-49</v>
      </c>
      <c r="L16" s="20">
        <f t="shared" si="2"/>
        <v>9.2099424537771288E-86</v>
      </c>
      <c r="M16" s="31">
        <f t="shared" si="6"/>
        <v>7.60981450615463E-5</v>
      </c>
      <c r="O16" s="18">
        <f t="shared" si="3"/>
        <v>0.20791169081775945</v>
      </c>
      <c r="Q16" s="18">
        <f t="shared" si="4"/>
        <v>4.3227271178699601E-2</v>
      </c>
      <c r="R16" s="18">
        <f t="shared" si="5"/>
        <v>0.21643137258081213</v>
      </c>
    </row>
    <row r="17" spans="1:18" x14ac:dyDescent="0.3">
      <c r="A17" t="s">
        <v>4</v>
      </c>
      <c r="B17" s="5">
        <f>2*ACOS(0.1^(1/(B15+0.0000000001)))*180/PI()</f>
        <v>168.52165904281455</v>
      </c>
      <c r="C17" t="s">
        <v>0</v>
      </c>
      <c r="D17" s="5">
        <f>2*ACOS(0.1^(1/(D15+0.0000000001)))*180/PI()</f>
        <v>29.051542532277065</v>
      </c>
      <c r="E17" s="5">
        <f>2*ACOS(0.1^(1/(E15+0.0000000001)))*180/PI()</f>
        <v>21.956732342174647</v>
      </c>
      <c r="F17" s="5">
        <f>2*F19*SQRT(2*LN(1/0.1))</f>
        <v>76.868503061684422</v>
      </c>
      <c r="G17" t="s">
        <v>0</v>
      </c>
      <c r="I17">
        <v>-77</v>
      </c>
      <c r="J17" s="17">
        <f t="shared" si="0"/>
        <v>0.22495105434386492</v>
      </c>
      <c r="K17" s="19">
        <f t="shared" si="1"/>
        <v>1.1968122081335141E-46</v>
      </c>
      <c r="L17" s="20">
        <f t="shared" si="2"/>
        <v>1.6939201887924759E-81</v>
      </c>
      <c r="M17" s="31">
        <f t="shared" si="6"/>
        <v>9.6895342807194591E-5</v>
      </c>
      <c r="O17" s="18">
        <f t="shared" si="3"/>
        <v>0.22495105434386492</v>
      </c>
      <c r="Q17" s="18">
        <f t="shared" si="4"/>
        <v>5.0602976850416467E-2</v>
      </c>
      <c r="R17" s="18">
        <f t="shared" si="5"/>
        <v>0.23343647497176634</v>
      </c>
    </row>
    <row r="18" spans="1:18" x14ac:dyDescent="0.3">
      <c r="A18" t="s">
        <v>3</v>
      </c>
      <c r="B18" s="5">
        <f>+(B15+1)/(2*PI())</f>
        <v>0.31830988618379069</v>
      </c>
      <c r="C18" t="s">
        <v>5</v>
      </c>
      <c r="D18" s="5">
        <f>+(D15+1)/(2*PI())</f>
        <v>11.439559580869954</v>
      </c>
      <c r="E18" s="4">
        <v>20</v>
      </c>
      <c r="F18" s="27" t="str">
        <f>"≈ "&amp;TEXT((F15+1)/(2*PI()),"0.00")</f>
        <v>≈ 1.75</v>
      </c>
      <c r="G18" t="s">
        <v>5</v>
      </c>
      <c r="I18">
        <v>-76</v>
      </c>
      <c r="J18" s="17">
        <f t="shared" si="0"/>
        <v>0.2419218955996679</v>
      </c>
      <c r="K18" s="19">
        <f t="shared" si="1"/>
        <v>2.074072704508442E-44</v>
      </c>
      <c r="L18" s="20">
        <f t="shared" si="2"/>
        <v>1.4677880576804288E-77</v>
      </c>
      <c r="M18" s="31">
        <f t="shared" si="6"/>
        <v>1.2299226967785485E-4</v>
      </c>
      <c r="O18" s="18">
        <f t="shared" si="3"/>
        <v>0.2419218955996679</v>
      </c>
      <c r="Q18" s="18">
        <f t="shared" si="4"/>
        <v>5.852620357053661E-2</v>
      </c>
      <c r="R18" s="18">
        <f t="shared" si="5"/>
        <v>0.25037047035109428</v>
      </c>
    </row>
    <row r="19" spans="1:18" x14ac:dyDescent="0.3">
      <c r="A19" t="s">
        <v>74</v>
      </c>
      <c r="B19" s="27" t="str">
        <f>IF(B16&lt;=60,0.5*B16/SQRT(LN(4)),"FWHM&gt;60")</f>
        <v>FWHM&gt;60</v>
      </c>
      <c r="C19" t="s">
        <v>0</v>
      </c>
      <c r="D19" s="27">
        <f>IF(D16&lt;=60,0.5*D16/SQRT(LN(4)),"FWHM&gt;60")</f>
        <v>6.7945744023041525</v>
      </c>
      <c r="E19" s="27">
        <f>IF(E16&lt;=60,0.5*E16/SQRT(LN(4)),"FWHM&gt;60")</f>
        <v>5.1268437885179106</v>
      </c>
      <c r="F19" s="4">
        <v>17.91</v>
      </c>
      <c r="G19" t="s">
        <v>0</v>
      </c>
      <c r="I19">
        <v>-75</v>
      </c>
      <c r="J19" s="17">
        <f t="shared" si="0"/>
        <v>0.25881904510252074</v>
      </c>
      <c r="K19" s="19">
        <f t="shared" si="1"/>
        <v>2.4831821166632991E-42</v>
      </c>
      <c r="L19" s="20">
        <f t="shared" si="2"/>
        <v>6.6364309876088628E-74</v>
      </c>
      <c r="M19" s="31">
        <f t="shared" si="6"/>
        <v>1.5563196754935903E-4</v>
      </c>
      <c r="O19" s="18">
        <f t="shared" si="3"/>
        <v>0.25881904510252074</v>
      </c>
      <c r="Q19" s="18">
        <f t="shared" si="4"/>
        <v>6.698729810778066E-2</v>
      </c>
      <c r="R19" s="18">
        <f t="shared" si="5"/>
        <v>0.26722820045976026</v>
      </c>
    </row>
    <row r="20" spans="1:18" ht="28.8" x14ac:dyDescent="0.3">
      <c r="A20" s="32" t="s">
        <v>77</v>
      </c>
      <c r="B20" s="27">
        <f>1/(PI()*(SIN(RADIANS(B16/2)))^2)</f>
        <v>0.42441318159799968</v>
      </c>
      <c r="C20" t="s">
        <v>5</v>
      </c>
      <c r="D20" s="27">
        <f>1/(PI()*(SIN(RADIANS(D16/2)))^2)</f>
        <v>16.433857593608703</v>
      </c>
      <c r="E20" s="27">
        <f>1/(PI()*(SIN(RADIANS(E16/2)))^2)</f>
        <v>28.783738687539486</v>
      </c>
      <c r="F20" s="27">
        <f>1/(PI()*(SIN(RADIANS(F16/2)))^2)</f>
        <v>2.4589374378475943</v>
      </c>
      <c r="G20" t="s">
        <v>5</v>
      </c>
      <c r="I20">
        <v>-74</v>
      </c>
      <c r="J20" s="17">
        <f t="shared" si="0"/>
        <v>0.27563735581699916</v>
      </c>
      <c r="K20" s="19">
        <f t="shared" si="1"/>
        <v>2.1523505442775582E-40</v>
      </c>
      <c r="L20" s="20">
        <f t="shared" si="2"/>
        <v>1.7000835012036446E-70</v>
      </c>
      <c r="M20" s="31">
        <f t="shared" si="6"/>
        <v>1.9632060310363321E-4</v>
      </c>
      <c r="O20" s="18">
        <f t="shared" si="3"/>
        <v>0.27563735581699916</v>
      </c>
      <c r="Q20" s="18">
        <f t="shared" si="4"/>
        <v>7.5975951921787008E-2</v>
      </c>
      <c r="R20" s="18">
        <f t="shared" si="5"/>
        <v>0.28400453026986766</v>
      </c>
    </row>
    <row r="21" spans="1:18" x14ac:dyDescent="0.3">
      <c r="I21">
        <v>-73</v>
      </c>
      <c r="J21" s="17">
        <f t="shared" si="0"/>
        <v>0.29237170472273677</v>
      </c>
      <c r="K21" s="19">
        <f t="shared" si="1"/>
        <v>1.4033535227315424E-38</v>
      </c>
      <c r="L21" s="20">
        <f t="shared" si="2"/>
        <v>2.6394908526631181E-67</v>
      </c>
      <c r="M21" s="31">
        <f t="shared" si="6"/>
        <v>2.468760901393659E-4</v>
      </c>
      <c r="O21" s="18">
        <f t="shared" si="3"/>
        <v>0.29237170472273677</v>
      </c>
      <c r="Q21" s="18">
        <f t="shared" si="4"/>
        <v>8.5481213722479174E-2</v>
      </c>
      <c r="R21" s="18">
        <f t="shared" si="5"/>
        <v>0.30069434954884217</v>
      </c>
    </row>
    <row r="22" spans="1:18" ht="16.2" x14ac:dyDescent="0.3">
      <c r="A22" t="s">
        <v>75</v>
      </c>
      <c r="I22">
        <v>-72</v>
      </c>
      <c r="J22" s="17">
        <f t="shared" si="0"/>
        <v>0.30901699437494745</v>
      </c>
      <c r="K22" s="19">
        <f t="shared" si="1"/>
        <v>7.1046870909461545E-37</v>
      </c>
      <c r="L22" s="20">
        <f t="shared" si="2"/>
        <v>2.6261002943759002E-64</v>
      </c>
      <c r="M22" s="31">
        <f t="shared" si="6"/>
        <v>3.0948404280454068E-4</v>
      </c>
      <c r="O22" s="18">
        <f t="shared" si="3"/>
        <v>0.30901699437494745</v>
      </c>
      <c r="Q22" s="18">
        <f t="shared" si="4"/>
        <v>9.5491502812526302E-2</v>
      </c>
      <c r="R22" s="18">
        <f t="shared" si="5"/>
        <v>0.31729257441605213</v>
      </c>
    </row>
    <row r="23" spans="1:18" x14ac:dyDescent="0.3">
      <c r="I23">
        <v>-71</v>
      </c>
      <c r="J23" s="17">
        <f t="shared" si="0"/>
        <v>0.32556815445715676</v>
      </c>
      <c r="K23" s="19">
        <f t="shared" si="1"/>
        <v>2.8680270855202653E-35</v>
      </c>
      <c r="L23" s="20">
        <f t="shared" si="2"/>
        <v>1.7544267311665377E-61</v>
      </c>
      <c r="M23" s="31">
        <f t="shared" si="6"/>
        <v>3.867617990672103E-4</v>
      </c>
      <c r="O23" s="18">
        <f t="shared" si="3"/>
        <v>0.32556815445715676</v>
      </c>
      <c r="Q23" s="18">
        <f t="shared" si="4"/>
        <v>0.10599462319663908</v>
      </c>
      <c r="R23" s="18">
        <f t="shared" si="5"/>
        <v>0.33379414889141296</v>
      </c>
    </row>
    <row r="24" spans="1:18" x14ac:dyDescent="0.3">
      <c r="I24">
        <v>-70</v>
      </c>
      <c r="J24" s="17">
        <f t="shared" si="0"/>
        <v>0.34202014332566882</v>
      </c>
      <c r="K24" s="19">
        <f t="shared" si="1"/>
        <v>9.4414908712928083E-34</v>
      </c>
      <c r="L24" s="20">
        <f t="shared" si="2"/>
        <v>8.187590936023208E-59</v>
      </c>
      <c r="M24" s="31">
        <f t="shared" si="6"/>
        <v>4.8183124791345203E-4</v>
      </c>
      <c r="O24" s="18">
        <f t="shared" si="3"/>
        <v>0.34202014332566882</v>
      </c>
      <c r="Q24" s="18">
        <f t="shared" si="4"/>
        <v>0.11697777844051105</v>
      </c>
      <c r="R24" s="18">
        <f t="shared" si="5"/>
        <v>0.35019404643548457</v>
      </c>
    </row>
    <row r="25" spans="1:18" x14ac:dyDescent="0.3">
      <c r="I25">
        <v>-69</v>
      </c>
      <c r="J25" s="17">
        <f t="shared" si="0"/>
        <v>0.35836794954530038</v>
      </c>
      <c r="K25" s="19">
        <f t="shared" si="1"/>
        <v>2.5837158273306758E-32</v>
      </c>
      <c r="L25" s="20">
        <f t="shared" si="2"/>
        <v>2.7607151118846679E-56</v>
      </c>
      <c r="M25" s="31">
        <f t="shared" si="6"/>
        <v>5.9840116597345073E-4</v>
      </c>
      <c r="O25" s="18">
        <f t="shared" si="3"/>
        <v>0.35836794954530038</v>
      </c>
      <c r="Q25" s="18">
        <f t="shared" si="4"/>
        <v>0.12842758726130296</v>
      </c>
      <c r="R25" s="18">
        <f t="shared" si="5"/>
        <v>0.36648727148060617</v>
      </c>
    </row>
    <row r="26" spans="1:18" x14ac:dyDescent="0.3">
      <c r="I26">
        <v>-68</v>
      </c>
      <c r="J26" s="17">
        <f t="shared" si="0"/>
        <v>0.37460659341591196</v>
      </c>
      <c r="K26" s="19">
        <f t="shared" si="1"/>
        <v>5.9752919472960749E-31</v>
      </c>
      <c r="L26" s="20">
        <f t="shared" si="2"/>
        <v>6.9235861881334217E-54</v>
      </c>
      <c r="M26" s="31">
        <f t="shared" si="6"/>
        <v>7.4085971480158247E-4</v>
      </c>
      <c r="O26" s="18">
        <f t="shared" si="3"/>
        <v>0.37460659341591196</v>
      </c>
      <c r="Q26" s="18">
        <f t="shared" si="4"/>
        <v>0.14033009983067438</v>
      </c>
      <c r="R26" s="18">
        <f t="shared" si="5"/>
        <v>0.38266886095259323</v>
      </c>
    </row>
    <row r="27" spans="1:18" x14ac:dyDescent="0.3">
      <c r="I27">
        <v>-67</v>
      </c>
      <c r="J27" s="17">
        <f t="shared" si="0"/>
        <v>0.39073112848927394</v>
      </c>
      <c r="K27" s="19">
        <f t="shared" si="1"/>
        <v>1.1846492814285038E-29</v>
      </c>
      <c r="L27" s="20">
        <f t="shared" si="2"/>
        <v>1.3243426807386766E-51</v>
      </c>
      <c r="M27" s="31">
        <f t="shared" si="6"/>
        <v>9.1437766388058946E-4</v>
      </c>
      <c r="O27" s="18">
        <f t="shared" si="3"/>
        <v>0.39073112848927394</v>
      </c>
      <c r="Q27" s="18">
        <f t="shared" si="4"/>
        <v>0.15267081477050151</v>
      </c>
      <c r="R27" s="18">
        <f t="shared" si="5"/>
        <v>0.39873388578253632</v>
      </c>
    </row>
    <row r="28" spans="1:18" x14ac:dyDescent="0.3">
      <c r="I28">
        <v>-66</v>
      </c>
      <c r="J28" s="17">
        <f t="shared" si="0"/>
        <v>0.40673664307580021</v>
      </c>
      <c r="K28" s="19">
        <f t="shared" si="1"/>
        <v>2.0386773714315746E-28</v>
      </c>
      <c r="L28" s="20">
        <f t="shared" si="2"/>
        <v>1.9749132771531248E-49</v>
      </c>
      <c r="M28" s="31">
        <f t="shared" si="6"/>
        <v>1.1250227814466923E-3</v>
      </c>
      <c r="O28" s="18">
        <f t="shared" si="3"/>
        <v>0.40673664307580021</v>
      </c>
      <c r="Q28" s="18">
        <f t="shared" si="4"/>
        <v>0.16543469682057088</v>
      </c>
      <c r="R28" s="18">
        <f t="shared" si="5"/>
        <v>0.41467745240825038</v>
      </c>
    </row>
    <row r="29" spans="1:18" x14ac:dyDescent="0.3">
      <c r="I29">
        <v>-65</v>
      </c>
      <c r="J29" s="17">
        <f t="shared" si="0"/>
        <v>0.42261826174069944</v>
      </c>
      <c r="K29" s="19">
        <f t="shared" si="1"/>
        <v>3.0788065817813101E-27</v>
      </c>
      <c r="L29" s="20">
        <f t="shared" si="2"/>
        <v>2.3405812827900343E-47</v>
      </c>
      <c r="M29" s="31">
        <f t="shared" si="6"/>
        <v>1.379885670322223E-3</v>
      </c>
      <c r="O29" s="18">
        <f t="shared" si="3"/>
        <v>0.42261826174069944</v>
      </c>
      <c r="Q29" s="18">
        <f t="shared" si="4"/>
        <v>0.17860619515673035</v>
      </c>
      <c r="R29" s="18">
        <f t="shared" si="5"/>
        <v>0.43049470426488867</v>
      </c>
    </row>
    <row r="30" spans="1:18" x14ac:dyDescent="0.3">
      <c r="I30">
        <v>-64</v>
      </c>
      <c r="J30" s="17">
        <f t="shared" si="0"/>
        <v>0.43837114678907746</v>
      </c>
      <c r="K30" s="19">
        <f t="shared" si="1"/>
        <v>4.1198206324568006E-26</v>
      </c>
      <c r="L30" s="20">
        <f t="shared" si="2"/>
        <v>2.2422887554229278E-45</v>
      </c>
      <c r="M30" s="31">
        <f t="shared" si="6"/>
        <v>1.6872171141920865E-3</v>
      </c>
      <c r="O30" s="18">
        <f t="shared" si="3"/>
        <v>0.43837114678907746</v>
      </c>
      <c r="Q30" s="18">
        <f t="shared" si="4"/>
        <v>0.19216926233717091</v>
      </c>
      <c r="R30" s="18">
        <f t="shared" si="5"/>
        <v>0.44618082326431213</v>
      </c>
    </row>
    <row r="31" spans="1:18" x14ac:dyDescent="0.3">
      <c r="I31">
        <v>-63</v>
      </c>
      <c r="J31" s="17">
        <f t="shared" si="0"/>
        <v>0.4539904997395468</v>
      </c>
      <c r="K31" s="19">
        <f t="shared" si="1"/>
        <v>4.9265990366534905E-25</v>
      </c>
      <c r="L31" s="20">
        <f t="shared" si="2"/>
        <v>1.7627010882777077E-43</v>
      </c>
      <c r="M31" s="31">
        <f t="shared" si="6"/>
        <v>2.0565767367218338E-3</v>
      </c>
      <c r="O31" s="18">
        <f t="shared" si="3"/>
        <v>0.4539904997395468</v>
      </c>
      <c r="Q31" s="18">
        <f t="shared" si="4"/>
        <v>0.20610737385376346</v>
      </c>
      <c r="R31" s="18">
        <f t="shared" si="5"/>
        <v>0.46173103126271825</v>
      </c>
    </row>
    <row r="32" spans="1:18" x14ac:dyDescent="0.3">
      <c r="I32">
        <v>-62</v>
      </c>
      <c r="J32" s="17">
        <f t="shared" si="0"/>
        <v>0.46947156278589086</v>
      </c>
      <c r="K32" s="19">
        <f t="shared" si="1"/>
        <v>5.3050994094741039E-24</v>
      </c>
      <c r="L32" s="20">
        <f t="shared" si="2"/>
        <v>1.1523838092172551E-41</v>
      </c>
      <c r="M32" s="31">
        <f t="shared" si="6"/>
        <v>2.4989924578705035E-3</v>
      </c>
      <c r="O32" s="18">
        <f t="shared" si="3"/>
        <v>0.46947156278589086</v>
      </c>
      <c r="Q32" s="18">
        <f t="shared" si="4"/>
        <v>0.22040354826462666</v>
      </c>
      <c r="R32" s="18">
        <f t="shared" si="5"/>
        <v>0.47714059151611421</v>
      </c>
    </row>
    <row r="33" spans="1:18" x14ac:dyDescent="0.3">
      <c r="I33">
        <v>-61</v>
      </c>
      <c r="J33" s="17">
        <f t="shared" si="0"/>
        <v>0.48480962024633711</v>
      </c>
      <c r="K33" s="19">
        <f t="shared" si="1"/>
        <v>5.1793115795918545E-23</v>
      </c>
      <c r="L33" s="20">
        <f t="shared" si="2"/>
        <v>6.3408006790913133E-40</v>
      </c>
      <c r="M33" s="31">
        <f t="shared" si="6"/>
        <v>3.0271298560238073E-3</v>
      </c>
      <c r="O33" s="18">
        <f t="shared" si="3"/>
        <v>0.48480962024633711</v>
      </c>
      <c r="Q33" s="18">
        <f t="shared" si="4"/>
        <v>0.23504036788339761</v>
      </c>
      <c r="R33" s="18">
        <f t="shared" si="5"/>
        <v>0.49240481012316861</v>
      </c>
    </row>
    <row r="34" spans="1:18" x14ac:dyDescent="0.3">
      <c r="I34">
        <v>-60</v>
      </c>
      <c r="J34" s="17">
        <f t="shared" si="0"/>
        <v>0.50000000000000011</v>
      </c>
      <c r="K34" s="19">
        <f t="shared" si="1"/>
        <v>4.6124888011352357E-22</v>
      </c>
      <c r="L34" s="20">
        <f t="shared" si="2"/>
        <v>2.9681447733239668E-38</v>
      </c>
      <c r="M34" s="31">
        <f t="shared" si="6"/>
        <v>3.6554701098643798E-3</v>
      </c>
      <c r="O34" s="18">
        <f t="shared" si="3"/>
        <v>0.50000000000000011</v>
      </c>
      <c r="Q34" s="18">
        <f t="shared" si="4"/>
        <v>0.25000000000000011</v>
      </c>
      <c r="R34" s="18">
        <f t="shared" si="5"/>
        <v>0.50751903745502747</v>
      </c>
    </row>
    <row r="35" spans="1:18" x14ac:dyDescent="0.3">
      <c r="I35">
        <v>-59</v>
      </c>
      <c r="J35" s="17">
        <f t="shared" si="0"/>
        <v>0.51503807491005438</v>
      </c>
      <c r="K35" s="19">
        <f t="shared" si="1"/>
        <v>3.7676739327806769E-21</v>
      </c>
      <c r="L35" s="20">
        <f t="shared" si="2"/>
        <v>1.1935034199889551E-36</v>
      </c>
      <c r="M35" s="31">
        <f t="shared" si="6"/>
        <v>4.4004947006446157E-3</v>
      </c>
      <c r="O35" s="18">
        <f t="shared" si="3"/>
        <v>0.51503807491005438</v>
      </c>
      <c r="Q35" s="18">
        <f t="shared" si="4"/>
        <v>0.26526421860705479</v>
      </c>
      <c r="R35" s="18">
        <f t="shared" si="5"/>
        <v>0.52247866957162969</v>
      </c>
    </row>
    <row r="36" spans="1:18" x14ac:dyDescent="0.3">
      <c r="I36">
        <v>-58</v>
      </c>
      <c r="J36" s="17">
        <f t="shared" ref="J36:J70" si="7">$O36^$B$15</f>
        <v>0.5299192642332049</v>
      </c>
      <c r="K36" s="19">
        <f t="shared" ref="K36:K70" si="8">$O36^D$15</f>
        <v>2.8369166203881151E-20</v>
      </c>
      <c r="L36" s="20">
        <f t="shared" ref="L36:L70" si="9">$O36^E$15</f>
        <v>4.1587235576681689E-35</v>
      </c>
      <c r="M36" s="31">
        <f t="shared" si="6"/>
        <v>5.2808745062749157E-3</v>
      </c>
      <c r="O36" s="18">
        <f t="shared" ref="O36:O70" si="10">COS(I36*PI()/180)</f>
        <v>0.5299192642332049</v>
      </c>
      <c r="Q36" s="18">
        <f t="shared" ref="Q36:Q70" si="11">$O36^($B$15+1)</f>
        <v>0.28081442660546124</v>
      </c>
      <c r="R36" s="18">
        <f t="shared" ref="R36:R70" si="12">+(Q37-Q36)/(($B$15+1)*(O37-O36))</f>
        <v>0.53727914962411627</v>
      </c>
    </row>
    <row r="37" spans="1:18" x14ac:dyDescent="0.3">
      <c r="I37">
        <v>-57</v>
      </c>
      <c r="J37" s="17">
        <f t="shared" si="7"/>
        <v>0.5446390350150272</v>
      </c>
      <c r="K37" s="19">
        <f t="shared" si="8"/>
        <v>1.9779463464769173E-19</v>
      </c>
      <c r="L37" s="20">
        <f t="shared" si="9"/>
        <v>1.2657285468255284E-33</v>
      </c>
      <c r="M37" s="31">
        <f t="shared" si="6"/>
        <v>6.3176603183892309E-3</v>
      </c>
      <c r="O37" s="18">
        <f t="shared" si="10"/>
        <v>0.5446390350150272</v>
      </c>
      <c r="Q37" s="18">
        <f t="shared" si="11"/>
        <v>0.29663167846210003</v>
      </c>
      <c r="R37" s="18">
        <f t="shared" si="12"/>
        <v>0.55191596924288722</v>
      </c>
    </row>
    <row r="38" spans="1:18" x14ac:dyDescent="0.3">
      <c r="I38">
        <v>-56</v>
      </c>
      <c r="J38" s="17">
        <f t="shared" si="7"/>
        <v>0.55919290347074679</v>
      </c>
      <c r="K38" s="19">
        <f t="shared" si="8"/>
        <v>1.2822104113234797E-18</v>
      </c>
      <c r="L38" s="20">
        <f t="shared" si="9"/>
        <v>3.3892209064964889E-32</v>
      </c>
      <c r="M38" s="31">
        <f t="shared" si="6"/>
        <v>7.534471170099994E-3</v>
      </c>
      <c r="O38" s="18">
        <f t="shared" si="10"/>
        <v>0.55919290347074679</v>
      </c>
      <c r="Q38" s="18">
        <f t="shared" si="11"/>
        <v>0.31269670329204396</v>
      </c>
      <c r="R38" s="18">
        <f t="shared" si="12"/>
        <v>0.56638466991089642</v>
      </c>
    </row>
    <row r="39" spans="1:18" x14ac:dyDescent="0.3">
      <c r="I39">
        <v>-55</v>
      </c>
      <c r="J39" s="17">
        <f t="shared" si="7"/>
        <v>0.57357643635104616</v>
      </c>
      <c r="K39" s="19">
        <f t="shared" si="8"/>
        <v>7.7572252501993409E-18</v>
      </c>
      <c r="L39" s="20">
        <f t="shared" si="9"/>
        <v>8.0370548362899432E-31</v>
      </c>
      <c r="M39" s="31">
        <f t="shared" si="6"/>
        <v>8.9576761863939397E-3</v>
      </c>
      <c r="O39" s="18">
        <f t="shared" si="10"/>
        <v>0.57357643635104616</v>
      </c>
      <c r="Q39" s="18">
        <f t="shared" si="11"/>
        <v>0.32898992833716573</v>
      </c>
      <c r="R39" s="18">
        <f>+(Q43-Q39)/(($B$15+1)*(O43-O39))</f>
        <v>0.58068084432175815</v>
      </c>
    </row>
    <row r="40" spans="1:18" x14ac:dyDescent="0.3">
      <c r="J40" s="17"/>
      <c r="K40" s="19"/>
      <c r="L40" s="20"/>
      <c r="M40" s="31"/>
      <c r="O40" s="18"/>
      <c r="Q40" s="18"/>
      <c r="R40" s="18"/>
    </row>
    <row r="41" spans="1:18" x14ac:dyDescent="0.3">
      <c r="J41" s="17"/>
      <c r="K41" s="19"/>
      <c r="L41" s="20"/>
      <c r="M41" s="31"/>
      <c r="O41" s="18"/>
      <c r="Q41" s="18"/>
      <c r="R41" s="18"/>
    </row>
    <row r="42" spans="1:18" x14ac:dyDescent="0.3">
      <c r="J42" s="17"/>
      <c r="K42" s="19"/>
      <c r="L42" s="20"/>
      <c r="M42" s="31"/>
      <c r="O42" s="18"/>
      <c r="Q42" s="18"/>
      <c r="R42" s="18"/>
    </row>
    <row r="43" spans="1:18" x14ac:dyDescent="0.3">
      <c r="I43">
        <v>-54</v>
      </c>
      <c r="J43" s="17">
        <f t="shared" si="7"/>
        <v>0.58778525229247314</v>
      </c>
      <c r="K43" s="19">
        <f t="shared" si="8"/>
        <v>4.3948306122125396E-17</v>
      </c>
      <c r="L43" s="20">
        <f t="shared" si="9"/>
        <v>1.6980325073974134E-29</v>
      </c>
      <c r="M43" s="31">
        <f t="shared" si="6"/>
        <v>1.0616564975249643E-2</v>
      </c>
      <c r="O43" s="18">
        <f t="shared" si="10"/>
        <v>0.58778525229247314</v>
      </c>
      <c r="Q43" s="18">
        <f t="shared" si="11"/>
        <v>0.34549150281252627</v>
      </c>
      <c r="R43" s="18">
        <f t="shared" si="12"/>
        <v>0.5948001377222607</v>
      </c>
    </row>
    <row r="44" spans="1:18" x14ac:dyDescent="0.3">
      <c r="A44" t="s">
        <v>63</v>
      </c>
      <c r="I44">
        <v>-53</v>
      </c>
      <c r="J44" s="17">
        <f t="shared" si="7"/>
        <v>0.60181502315204838</v>
      </c>
      <c r="K44" s="19">
        <f t="shared" si="8"/>
        <v>2.3389928393251342E-16</v>
      </c>
      <c r="L44" s="20">
        <f t="shared" si="9"/>
        <v>3.2139812429000242E-28</v>
      </c>
      <c r="M44" s="31">
        <f t="shared" si="6"/>
        <v>1.2543500883227357E-2</v>
      </c>
      <c r="O44" s="18">
        <f t="shared" si="10"/>
        <v>0.60181502315204838</v>
      </c>
      <c r="Q44" s="18">
        <f t="shared" si="11"/>
        <v>0.3621813220915005</v>
      </c>
      <c r="R44" s="18">
        <f t="shared" si="12"/>
        <v>0.608738249238854</v>
      </c>
    </row>
    <row r="45" spans="1:18" x14ac:dyDescent="0.3">
      <c r="A45" t="s">
        <v>64</v>
      </c>
      <c r="I45">
        <v>-52</v>
      </c>
      <c r="J45" s="17">
        <f t="shared" si="7"/>
        <v>0.61566147532565829</v>
      </c>
      <c r="K45" s="19">
        <f t="shared" si="8"/>
        <v>1.172784576672525E-15</v>
      </c>
      <c r="L45" s="20">
        <f t="shared" si="9"/>
        <v>5.4776002745163742E-27</v>
      </c>
      <c r="M45" s="31">
        <f t="shared" si="6"/>
        <v>1.4774050765611954E-2</v>
      </c>
      <c r="O45" s="18">
        <f t="shared" si="10"/>
        <v>0.61566147532565829</v>
      </c>
      <c r="Q45" s="18">
        <f t="shared" si="11"/>
        <v>0.37903905220016615</v>
      </c>
      <c r="R45" s="18">
        <f t="shared" si="12"/>
        <v>0.62249093318774873</v>
      </c>
    </row>
    <row r="46" spans="1:18" x14ac:dyDescent="0.3">
      <c r="A46" t="s">
        <v>65</v>
      </c>
      <c r="I46">
        <v>-51</v>
      </c>
      <c r="J46" s="17">
        <f t="shared" si="7"/>
        <v>0.6293203910498375</v>
      </c>
      <c r="K46" s="19">
        <f t="shared" si="8"/>
        <v>5.5547235495362182E-15</v>
      </c>
      <c r="L46" s="20">
        <f t="shared" si="9"/>
        <v>8.4452723288913024E-26</v>
      </c>
      <c r="M46" s="31">
        <f t="shared" si="6"/>
        <v>1.734708429265823E-2</v>
      </c>
      <c r="O46" s="18">
        <f t="shared" si="10"/>
        <v>0.6293203910498375</v>
      </c>
      <c r="Q46" s="18">
        <f t="shared" si="11"/>
        <v>0.39604415459112041</v>
      </c>
      <c r="R46" s="18">
        <f t="shared" si="12"/>
        <v>0.63605400036818682</v>
      </c>
    </row>
    <row r="47" spans="1:18" x14ac:dyDescent="0.3">
      <c r="A47" t="s">
        <v>66</v>
      </c>
      <c r="I47">
        <v>-50</v>
      </c>
      <c r="J47" s="17">
        <f t="shared" si="7"/>
        <v>0.64278760968653936</v>
      </c>
      <c r="K47" s="19">
        <f t="shared" si="8"/>
        <v>2.4912906858788226E-14</v>
      </c>
      <c r="L47" s="20">
        <f t="shared" si="9"/>
        <v>1.1829947458059491E-24</v>
      </c>
      <c r="M47" s="31">
        <f t="shared" si="6"/>
        <v>2.0304835257654582E-2</v>
      </c>
      <c r="O47" s="18">
        <f t="shared" si="10"/>
        <v>0.64278760968653936</v>
      </c>
      <c r="Q47" s="18">
        <f t="shared" si="11"/>
        <v>0.41317591116653485</v>
      </c>
      <c r="R47" s="18">
        <f t="shared" si="12"/>
        <v>0.64942331933852326</v>
      </c>
    </row>
    <row r="48" spans="1:18" x14ac:dyDescent="0.3">
      <c r="A48" t="s">
        <v>67</v>
      </c>
      <c r="I48">
        <v>-49</v>
      </c>
      <c r="J48" s="17">
        <f t="shared" si="7"/>
        <v>0.65605902899050728</v>
      </c>
      <c r="K48" s="19">
        <f t="shared" si="8"/>
        <v>1.0604407868919944E-13</v>
      </c>
      <c r="L48" s="20">
        <f t="shared" si="9"/>
        <v>1.5115606462953339E-23</v>
      </c>
      <c r="M48" s="31">
        <f t="shared" si="6"/>
        <v>2.3692916899578035E-2</v>
      </c>
      <c r="O48" s="18">
        <f t="shared" si="10"/>
        <v>0.65605902899050728</v>
      </c>
      <c r="Q48" s="18">
        <f t="shared" si="11"/>
        <v>0.43041344951996724</v>
      </c>
      <c r="R48" s="18">
        <f t="shared" si="12"/>
        <v>0.66259481767468364</v>
      </c>
    </row>
    <row r="49" spans="1:18" x14ac:dyDescent="0.3">
      <c r="A49" t="s">
        <v>68</v>
      </c>
      <c r="I49">
        <v>-48</v>
      </c>
      <c r="J49" s="17">
        <f t="shared" si="7"/>
        <v>0.66913060635885824</v>
      </c>
      <c r="K49" s="19">
        <f t="shared" si="8"/>
        <v>4.2929707888527282E-13</v>
      </c>
      <c r="L49" s="20">
        <f t="shared" si="9"/>
        <v>1.7682412217270303E-22</v>
      </c>
      <c r="M49" s="31">
        <f t="shared" si="6"/>
        <v>2.7560282935249758E-2</v>
      </c>
      <c r="O49" s="18">
        <f t="shared" si="10"/>
        <v>0.66913060635885824</v>
      </c>
      <c r="Q49" s="18">
        <f t="shared" si="11"/>
        <v>0.44773576836617329</v>
      </c>
      <c r="R49" s="18">
        <f t="shared" si="12"/>
        <v>0.67556448321067764</v>
      </c>
    </row>
    <row r="50" spans="1:18" x14ac:dyDescent="0.3">
      <c r="A50" t="s">
        <v>69</v>
      </c>
      <c r="I50">
        <v>-47</v>
      </c>
      <c r="J50" s="17">
        <f t="shared" si="7"/>
        <v>0.68199836006249848</v>
      </c>
      <c r="K50" s="19">
        <f t="shared" si="8"/>
        <v>1.6560836445449307E-12</v>
      </c>
      <c r="L50" s="20">
        <f t="shared" si="9"/>
        <v>1.9002639904373441E-21</v>
      </c>
      <c r="M50" s="31">
        <f t="shared" si="6"/>
        <v>3.1959125846458332E-2</v>
      </c>
      <c r="O50" s="18">
        <f t="shared" si="10"/>
        <v>0.68199836006249848</v>
      </c>
      <c r="Q50" s="18">
        <f t="shared" si="11"/>
        <v>0.46512176312793729</v>
      </c>
      <c r="R50" s="18">
        <f t="shared" si="12"/>
        <v>0.68832836526074992</v>
      </c>
    </row>
    <row r="51" spans="1:18" x14ac:dyDescent="0.3">
      <c r="A51" t="s">
        <v>70</v>
      </c>
      <c r="I51">
        <v>-46</v>
      </c>
      <c r="J51" s="17">
        <f t="shared" si="7"/>
        <v>0.69465837045899737</v>
      </c>
      <c r="K51" s="19">
        <f t="shared" si="8"/>
        <v>6.0987759338418334E-12</v>
      </c>
      <c r="L51" s="20">
        <f t="shared" si="9"/>
        <v>1.8820038230161089E-20</v>
      </c>
      <c r="M51" s="31">
        <f t="shared" si="6"/>
        <v>3.6944704019972761E-2</v>
      </c>
      <c r="O51" s="18">
        <f t="shared" si="10"/>
        <v>0.69465837045899737</v>
      </c>
      <c r="Q51" s="18">
        <f t="shared" si="11"/>
        <v>0.48255025164874965</v>
      </c>
      <c r="R51" s="18">
        <f t="shared" si="12"/>
        <v>0.70088257582277302</v>
      </c>
    </row>
    <row r="52" spans="1:18" x14ac:dyDescent="0.3">
      <c r="I52">
        <v>-45</v>
      </c>
      <c r="J52" s="17">
        <f t="shared" si="7"/>
        <v>0.70710678118654757</v>
      </c>
      <c r="K52" s="19">
        <f t="shared" si="8"/>
        <v>2.1476705522810528E-11</v>
      </c>
      <c r="L52" s="20">
        <f t="shared" si="9"/>
        <v>1.7228304540273035E-19</v>
      </c>
      <c r="M52" s="31">
        <f t="shared" si="6"/>
        <v>4.2575089625102466E-2</v>
      </c>
      <c r="O52" s="18">
        <f t="shared" si="10"/>
        <v>0.70710678118654757</v>
      </c>
      <c r="Q52" s="18">
        <f t="shared" si="11"/>
        <v>0.50000000000000011</v>
      </c>
      <c r="R52" s="18">
        <f t="shared" si="12"/>
        <v>0.71322329076259805</v>
      </c>
    </row>
    <row r="53" spans="1:18" x14ac:dyDescent="0.3">
      <c r="I53">
        <v>-44</v>
      </c>
      <c r="J53" s="17">
        <f t="shared" si="7"/>
        <v>0.71933980033865119</v>
      </c>
      <c r="K53" s="19">
        <f t="shared" si="8"/>
        <v>7.2432873549647532E-11</v>
      </c>
      <c r="L53" s="20">
        <f t="shared" si="9"/>
        <v>1.4617511399928278E-18</v>
      </c>
      <c r="M53" s="31">
        <f t="shared" si="6"/>
        <v>4.891082966439983E-2</v>
      </c>
      <c r="O53" s="18">
        <f t="shared" si="10"/>
        <v>0.71933980033865119</v>
      </c>
      <c r="Q53" s="18">
        <f t="shared" si="11"/>
        <v>0.51744974835125057</v>
      </c>
      <c r="R53" s="18">
        <f t="shared" si="12"/>
        <v>0.7253467509789121</v>
      </c>
    </row>
    <row r="54" spans="1:18" x14ac:dyDescent="0.3">
      <c r="I54">
        <v>-43</v>
      </c>
      <c r="J54" s="17">
        <f t="shared" si="7"/>
        <v>0.73135370161917057</v>
      </c>
      <c r="K54" s="19">
        <f t="shared" si="8"/>
        <v>2.3430391966216697E-10</v>
      </c>
      <c r="L54" s="20">
        <f t="shared" si="9"/>
        <v>1.1524605796018681E-17</v>
      </c>
      <c r="M54" s="31">
        <f t="shared" si="6"/>
        <v>5.6014513474192264E-2</v>
      </c>
      <c r="O54" s="18">
        <f t="shared" si="10"/>
        <v>0.73135370161917057</v>
      </c>
      <c r="Q54" s="18">
        <f t="shared" si="11"/>
        <v>0.53487823687206282</v>
      </c>
      <c r="R54" s="18">
        <f t="shared" si="12"/>
        <v>0.73724926354828135</v>
      </c>
    </row>
    <row r="55" spans="1:18" x14ac:dyDescent="0.3">
      <c r="A55" t="s">
        <v>71</v>
      </c>
      <c r="I55">
        <v>-42</v>
      </c>
      <c r="J55" s="17">
        <f t="shared" si="7"/>
        <v>0.74314482547739424</v>
      </c>
      <c r="K55" s="19">
        <f t="shared" si="8"/>
        <v>7.2793048550301895E-10</v>
      </c>
      <c r="L55" s="20">
        <f t="shared" si="9"/>
        <v>8.463294859980243E-17</v>
      </c>
      <c r="M55" s="31">
        <f t="shared" si="6"/>
        <v>6.3950241103259434E-2</v>
      </c>
      <c r="O55" s="18">
        <f t="shared" si="10"/>
        <v>0.74314482547739424</v>
      </c>
      <c r="Q55" s="18">
        <f t="shared" si="11"/>
        <v>0.55226423163382676</v>
      </c>
      <c r="R55" s="18">
        <f t="shared" si="12"/>
        <v>0.74892720285008318</v>
      </c>
    </row>
    <row r="56" spans="1:18" x14ac:dyDescent="0.3">
      <c r="A56" t="s">
        <v>72</v>
      </c>
      <c r="I56">
        <v>-41</v>
      </c>
      <c r="J56" s="17">
        <f t="shared" si="7"/>
        <v>0.75470958022277213</v>
      </c>
      <c r="K56" s="19">
        <f t="shared" si="8"/>
        <v>2.1747979039233984E-9</v>
      </c>
      <c r="L56" s="20">
        <f t="shared" si="9"/>
        <v>5.8020938180960859E-16</v>
      </c>
      <c r="M56" s="31">
        <f t="shared" si="6"/>
        <v>7.2782988473336752E-2</v>
      </c>
      <c r="O56" s="18">
        <f t="shared" si="10"/>
        <v>0.75470958022277213</v>
      </c>
      <c r="Q56" s="18">
        <f t="shared" si="11"/>
        <v>0.56958655048003293</v>
      </c>
      <c r="R56" s="18">
        <f t="shared" si="12"/>
        <v>0.7603770116708749</v>
      </c>
    </row>
    <row r="57" spans="1:18" x14ac:dyDescent="0.3">
      <c r="I57">
        <v>-40</v>
      </c>
      <c r="J57" s="17">
        <f t="shared" si="7"/>
        <v>0.76604444311897801</v>
      </c>
      <c r="K57" s="19">
        <f t="shared" si="8"/>
        <v>6.2558038685430222E-9</v>
      </c>
      <c r="L57" s="20">
        <f t="shared" si="9"/>
        <v>3.7210927841818157E-15</v>
      </c>
      <c r="M57" s="31">
        <f t="shared" si="6"/>
        <v>8.2577867028647695E-2</v>
      </c>
      <c r="O57" s="18">
        <f t="shared" si="10"/>
        <v>0.76604444311897801</v>
      </c>
      <c r="Q57" s="18">
        <f t="shared" si="11"/>
        <v>0.58682408883346515</v>
      </c>
      <c r="R57" s="18">
        <f t="shared" si="12"/>
        <v>0.77159520228797385</v>
      </c>
    </row>
    <row r="58" spans="1:18" x14ac:dyDescent="0.3">
      <c r="I58">
        <v>-39</v>
      </c>
      <c r="J58" s="17">
        <f t="shared" si="7"/>
        <v>0.7771459614569709</v>
      </c>
      <c r="K58" s="19">
        <f t="shared" si="8"/>
        <v>1.7344681535928216E-8</v>
      </c>
      <c r="L58" s="20">
        <f t="shared" si="9"/>
        <v>2.236905383264906E-14</v>
      </c>
      <c r="M58" s="31">
        <f t="shared" si="6"/>
        <v>9.3399277707508707E-2</v>
      </c>
      <c r="O58" s="18">
        <f t="shared" si="10"/>
        <v>0.7771459614569709</v>
      </c>
      <c r="Q58" s="18">
        <f t="shared" si="11"/>
        <v>0.6039558454088797</v>
      </c>
      <c r="R58" s="18">
        <f t="shared" si="12"/>
        <v>0.78257835753184457</v>
      </c>
    </row>
    <row r="59" spans="1:18" x14ac:dyDescent="0.3">
      <c r="A59" t="s">
        <v>36</v>
      </c>
      <c r="I59">
        <v>-38</v>
      </c>
      <c r="J59" s="17">
        <f t="shared" si="7"/>
        <v>0.78801075360672201</v>
      </c>
      <c r="K59" s="19">
        <f t="shared" si="8"/>
        <v>4.6400424502856311E-8</v>
      </c>
      <c r="L59" s="20">
        <f t="shared" si="9"/>
        <v>1.2627390806554362E-13</v>
      </c>
      <c r="M59" s="31">
        <f t="shared" si="6"/>
        <v>0.10530996149983259</v>
      </c>
      <c r="O59" s="18">
        <f t="shared" si="10"/>
        <v>0.78801075360672201</v>
      </c>
      <c r="Q59" s="18">
        <f t="shared" si="11"/>
        <v>0.62096094779983391</v>
      </c>
      <c r="R59" s="18">
        <f t="shared" si="12"/>
        <v>0.79332313182700898</v>
      </c>
    </row>
    <row r="60" spans="1:18" x14ac:dyDescent="0.3">
      <c r="A60" t="s">
        <v>37</v>
      </c>
      <c r="I60">
        <v>-37</v>
      </c>
      <c r="J60" s="17">
        <f t="shared" si="7"/>
        <v>0.79863551004729283</v>
      </c>
      <c r="K60" s="19">
        <f t="shared" si="8"/>
        <v>1.1988789210395961E-7</v>
      </c>
      <c r="L60" s="20">
        <f t="shared" si="9"/>
        <v>6.7052754355736655E-13</v>
      </c>
      <c r="M60" s="31">
        <f t="shared" si="6"/>
        <v>0.11836995156012713</v>
      </c>
      <c r="O60" s="18">
        <f t="shared" si="10"/>
        <v>0.79863551004729283</v>
      </c>
      <c r="Q60" s="18">
        <f t="shared" si="11"/>
        <v>0.63781867790849955</v>
      </c>
      <c r="R60" s="18">
        <f t="shared" si="12"/>
        <v>0.80382625221111925</v>
      </c>
    </row>
    <row r="61" spans="1:18" x14ac:dyDescent="0.3">
      <c r="A61" t="s">
        <v>40</v>
      </c>
      <c r="I61">
        <v>-36</v>
      </c>
      <c r="J61" s="17">
        <f t="shared" si="7"/>
        <v>0.80901699437494745</v>
      </c>
      <c r="K61" s="19">
        <f t="shared" si="8"/>
        <v>2.9945094932764976E-7</v>
      </c>
      <c r="L61" s="20">
        <f t="shared" si="9"/>
        <v>3.3547398834223027E-12</v>
      </c>
      <c r="M61" s="31">
        <f t="shared" si="6"/>
        <v>0.13263543478318265</v>
      </c>
      <c r="O61" s="18">
        <f t="shared" si="10"/>
        <v>0.80901699437494745</v>
      </c>
      <c r="Q61" s="18">
        <f t="shared" si="11"/>
        <v>0.65450849718747373</v>
      </c>
      <c r="R61" s="18">
        <f t="shared" si="12"/>
        <v>0.81408451933196857</v>
      </c>
    </row>
    <row r="62" spans="1:18" x14ac:dyDescent="0.3">
      <c r="A62" t="s">
        <v>41</v>
      </c>
      <c r="I62">
        <v>-35</v>
      </c>
      <c r="J62" s="17">
        <f t="shared" si="7"/>
        <v>0.8191520442889918</v>
      </c>
      <c r="K62" s="19">
        <f t="shared" si="8"/>
        <v>7.2368250513669133E-7</v>
      </c>
      <c r="L62" s="20">
        <f t="shared" si="9"/>
        <v>1.5837984294629016E-11</v>
      </c>
      <c r="M62" s="31">
        <f t="shared" si="6"/>
        <v>0.14815753386242878</v>
      </c>
      <c r="O62" s="18">
        <f t="shared" si="10"/>
        <v>0.8191520442889918</v>
      </c>
      <c r="Q62" s="18">
        <f t="shared" si="11"/>
        <v>0.67101007166283433</v>
      </c>
      <c r="R62" s="18">
        <f t="shared" si="12"/>
        <v>0.82409480842201754</v>
      </c>
    </row>
    <row r="63" spans="1:18" x14ac:dyDescent="0.3">
      <c r="A63" s="22" t="s">
        <v>42</v>
      </c>
      <c r="I63">
        <v>-34</v>
      </c>
      <c r="J63" s="17">
        <f t="shared" si="7"/>
        <v>0.82903757255504162</v>
      </c>
      <c r="K63" s="19">
        <f t="shared" si="8"/>
        <v>1.6935378171519319E-6</v>
      </c>
      <c r="L63" s="20">
        <f t="shared" si="9"/>
        <v>7.0657730182680175E-11</v>
      </c>
      <c r="M63" s="31">
        <f t="shared" si="6"/>
        <v>0.16498102406912385</v>
      </c>
      <c r="O63" s="18">
        <f t="shared" si="10"/>
        <v>0.82903757255504162</v>
      </c>
      <c r="Q63" s="18">
        <f t="shared" si="11"/>
        <v>0.68730329670795587</v>
      </c>
      <c r="R63" s="18">
        <f t="shared" si="12"/>
        <v>0.83385407025023728</v>
      </c>
    </row>
    <row r="64" spans="1:18" x14ac:dyDescent="0.3">
      <c r="I64">
        <v>-33</v>
      </c>
      <c r="J64" s="17">
        <f t="shared" si="7"/>
        <v>0.83867056794542405</v>
      </c>
      <c r="K64" s="19">
        <f t="shared" si="8"/>
        <v>3.8405864742792049E-6</v>
      </c>
      <c r="L64" s="20">
        <f t="shared" si="9"/>
        <v>2.9827786611866994E-10</v>
      </c>
      <c r="M64" s="31">
        <f t="shared" si="6"/>
        <v>0.18314300223195479</v>
      </c>
      <c r="O64" s="18">
        <f t="shared" si="10"/>
        <v>0.83867056794542405</v>
      </c>
      <c r="Q64" s="18">
        <f t="shared" si="11"/>
        <v>0.70336832153790019</v>
      </c>
      <c r="R64" s="18">
        <f t="shared" si="12"/>
        <v>0.84335933205092328</v>
      </c>
    </row>
    <row r="65" spans="9:18" x14ac:dyDescent="0.3">
      <c r="I65">
        <v>-32</v>
      </c>
      <c r="J65" s="17">
        <f t="shared" si="7"/>
        <v>0.84804809615642596</v>
      </c>
      <c r="K65" s="19">
        <f t="shared" si="8"/>
        <v>8.4463237360723854E-6</v>
      </c>
      <c r="L65" s="20">
        <f t="shared" si="9"/>
        <v>1.1929773286762735E-9</v>
      </c>
      <c r="M65" s="31">
        <f t="shared" si="6"/>
        <v>0.20267152856820067</v>
      </c>
      <c r="O65" s="18">
        <f t="shared" si="10"/>
        <v>0.84804809615642596</v>
      </c>
      <c r="Q65" s="18">
        <f t="shared" si="11"/>
        <v>0.7191855733945387</v>
      </c>
      <c r="R65" s="18">
        <f t="shared" si="12"/>
        <v>0.85260769842926931</v>
      </c>
    </row>
    <row r="66" spans="9:18" x14ac:dyDescent="0.3">
      <c r="I66">
        <v>-31</v>
      </c>
      <c r="J66" s="17">
        <f t="shared" si="7"/>
        <v>0.85716730070211233</v>
      </c>
      <c r="K66" s="19">
        <f t="shared" si="8"/>
        <v>1.8025972811456483E-5</v>
      </c>
      <c r="L66" s="20">
        <f t="shared" si="9"/>
        <v>4.5259424418392811E-9</v>
      </c>
      <c r="M66" s="31">
        <f t="shared" si="6"/>
        <v>0.22358426501737388</v>
      </c>
      <c r="O66" s="18">
        <f t="shared" si="10"/>
        <v>0.85716730070211233</v>
      </c>
      <c r="Q66" s="18">
        <f t="shared" si="11"/>
        <v>0.73473578139294549</v>
      </c>
      <c r="R66" s="18">
        <f t="shared" si="12"/>
        <v>0.8615963522432748</v>
      </c>
    </row>
    <row r="67" spans="9:18" x14ac:dyDescent="0.3">
      <c r="I67">
        <v>-30</v>
      </c>
      <c r="J67" s="17">
        <f t="shared" si="7"/>
        <v>0.86602540378443871</v>
      </c>
      <c r="K67" s="19">
        <f t="shared" si="8"/>
        <v>3.7356530686863316E-5</v>
      </c>
      <c r="L67" s="20">
        <f t="shared" si="9"/>
        <v>1.6305609105049378E-8</v>
      </c>
      <c r="M67" s="31">
        <f t="shared" si="6"/>
        <v>0.2458871364479599</v>
      </c>
      <c r="O67" s="18">
        <f t="shared" si="10"/>
        <v>0.86602540378443871</v>
      </c>
      <c r="Q67" s="18">
        <f t="shared" si="11"/>
        <v>0.75000000000000011</v>
      </c>
      <c r="R67" s="18">
        <f t="shared" si="12"/>
        <v>0.87032255546191495</v>
      </c>
    </row>
    <row r="68" spans="9:18" x14ac:dyDescent="0.3">
      <c r="I68">
        <v>-29</v>
      </c>
      <c r="J68" s="17">
        <f t="shared" si="7"/>
        <v>0.87461970713939574</v>
      </c>
      <c r="K68" s="19">
        <f t="shared" si="8"/>
        <v>7.5219598289675234E-5</v>
      </c>
      <c r="L68" s="20">
        <f t="shared" si="9"/>
        <v>5.5843569322098021E-8</v>
      </c>
      <c r="M68" s="31">
        <f t="shared" si="6"/>
        <v>0.26957304343619598</v>
      </c>
      <c r="O68" s="18">
        <f t="shared" si="10"/>
        <v>0.87461970713939574</v>
      </c>
      <c r="Q68" s="18">
        <f t="shared" si="11"/>
        <v>0.76495963211660234</v>
      </c>
      <c r="R68" s="18">
        <f t="shared" si="12"/>
        <v>0.87878364999916403</v>
      </c>
    </row>
    <row r="69" spans="9:18" x14ac:dyDescent="0.3">
      <c r="I69">
        <v>-28</v>
      </c>
      <c r="J69" s="17">
        <f t="shared" si="7"/>
        <v>0.88294759285892699</v>
      </c>
      <c r="K69" s="19">
        <f t="shared" si="8"/>
        <v>1.4724369164435084E-4</v>
      </c>
      <c r="L69" s="20">
        <f t="shared" si="9"/>
        <v>1.8199003739831214E-7</v>
      </c>
      <c r="M69" s="31">
        <f t="shared" si="6"/>
        <v>0.29462065714200303</v>
      </c>
      <c r="O69" s="18">
        <f t="shared" si="10"/>
        <v>0.88294759285892699</v>
      </c>
      <c r="Q69" s="18">
        <f t="shared" si="11"/>
        <v>0.77959645173537351</v>
      </c>
      <c r="R69" s="18">
        <f t="shared" si="12"/>
        <v>0.88697705852364983</v>
      </c>
    </row>
    <row r="70" spans="9:18" x14ac:dyDescent="0.3">
      <c r="I70">
        <v>-27</v>
      </c>
      <c r="J70" s="17">
        <f t="shared" si="7"/>
        <v>0.8910065241883679</v>
      </c>
      <c r="K70" s="19">
        <f t="shared" si="8"/>
        <v>2.8035854754709195E-4</v>
      </c>
      <c r="L70" s="20">
        <f t="shared" si="9"/>
        <v>5.6489178551367682E-7</v>
      </c>
      <c r="M70" s="31">
        <f t="shared" si="6"/>
        <v>0.32099332802504382</v>
      </c>
      <c r="O70" s="18">
        <f t="shared" si="10"/>
        <v>0.8910065241883679</v>
      </c>
      <c r="Q70" s="18">
        <f t="shared" si="11"/>
        <v>0.79389262614623668</v>
      </c>
      <c r="R70" s="18">
        <f t="shared" si="12"/>
        <v>0.89490028524376308</v>
      </c>
    </row>
    <row r="71" spans="9:18" x14ac:dyDescent="0.3">
      <c r="I71">
        <v>-26</v>
      </c>
      <c r="J71" s="17">
        <f t="shared" ref="J71:J102" si="13">$O71^$B$15</f>
        <v>0.89879404629916704</v>
      </c>
      <c r="K71" s="19">
        <f t="shared" ref="K71:K102" si="14">$O71^D$15</f>
        <v>5.1949212716019468E-4</v>
      </c>
      <c r="L71" s="20">
        <f t="shared" ref="L71:L102" si="15">$O71^E$15</f>
        <v>1.6715030092600029E-6</v>
      </c>
      <c r="M71" s="31">
        <f t="shared" si="6"/>
        <v>0.34863814065616983</v>
      </c>
      <c r="O71" s="18">
        <f t="shared" ref="O71:O102" si="16">COS(I71*PI()/180)</f>
        <v>0.89879404629916704</v>
      </c>
      <c r="Q71" s="18">
        <f t="shared" ref="Q71:Q97" si="17">$O71^($B$15+1)</f>
        <v>0.8078307376628292</v>
      </c>
      <c r="R71" s="18">
        <f t="shared" ref="R71:R96" si="18">+(Q72-Q71)/(($B$15+1)*(O72-O71))</f>
        <v>0.90255091666791043</v>
      </c>
    </row>
    <row r="72" spans="9:18" x14ac:dyDescent="0.3">
      <c r="I72">
        <v>-25</v>
      </c>
      <c r="J72" s="17">
        <f t="shared" si="13"/>
        <v>0.90630778703664994</v>
      </c>
      <c r="K72" s="19">
        <f t="shared" si="14"/>
        <v>9.3720812007158075E-4</v>
      </c>
      <c r="L72" s="20">
        <f t="shared" si="15"/>
        <v>4.7188030510338735E-6</v>
      </c>
      <c r="M72" s="31">
        <f t="shared" ref="M72:M135" si="19">EXP(-0.5*(I72^2)/(F$19^2))</f>
        <v>0.3774851466022292</v>
      </c>
      <c r="O72" s="18">
        <f t="shared" si="16"/>
        <v>0.90630778703664994</v>
      </c>
      <c r="Q72" s="18">
        <f t="shared" si="17"/>
        <v>0.82139380484326963</v>
      </c>
      <c r="R72" s="18">
        <f t="shared" si="18"/>
        <v>0.9099266223396214</v>
      </c>
    </row>
    <row r="73" spans="9:18" x14ac:dyDescent="0.3">
      <c r="I73">
        <v>-24</v>
      </c>
      <c r="J73" s="17">
        <f t="shared" si="13"/>
        <v>0.91354545764260087</v>
      </c>
      <c r="K73" s="19">
        <f t="shared" si="14"/>
        <v>1.6469360279551359E-3</v>
      </c>
      <c r="L73" s="20">
        <f t="shared" si="15"/>
        <v>1.271968986909649E-5</v>
      </c>
      <c r="M73" s="31">
        <f t="shared" si="19"/>
        <v>0.40744680622892498</v>
      </c>
      <c r="O73" s="18">
        <f t="shared" si="16"/>
        <v>0.91354545764260087</v>
      </c>
      <c r="Q73" s="18">
        <f t="shared" si="17"/>
        <v>0.83456530317942901</v>
      </c>
      <c r="R73" s="18">
        <f t="shared" si="18"/>
        <v>0.91702515554752451</v>
      </c>
    </row>
    <row r="74" spans="9:18" x14ac:dyDescent="0.3">
      <c r="I74">
        <v>-23</v>
      </c>
      <c r="J74" s="17">
        <f t="shared" si="13"/>
        <v>0.92050485345244037</v>
      </c>
      <c r="K74" s="19">
        <f t="shared" si="14"/>
        <v>2.8202086754227488E-3</v>
      </c>
      <c r="L74" s="20">
        <f t="shared" si="15"/>
        <v>3.2761075129362475E-5</v>
      </c>
      <c r="M74" s="31">
        <f t="shared" si="19"/>
        <v>0.43841766823229861</v>
      </c>
      <c r="O74" s="18">
        <f t="shared" si="16"/>
        <v>0.92050485345244037</v>
      </c>
      <c r="Q74" s="18">
        <f t="shared" si="17"/>
        <v>0.84732918522949874</v>
      </c>
      <c r="R74" s="18">
        <f t="shared" si="18"/>
        <v>0.92384435400961618</v>
      </c>
    </row>
    <row r="75" spans="9:18" x14ac:dyDescent="0.3">
      <c r="I75">
        <v>-22</v>
      </c>
      <c r="J75" s="17">
        <f t="shared" si="13"/>
        <v>0.92718385456678742</v>
      </c>
      <c r="K75" s="19">
        <f t="shared" si="14"/>
        <v>4.7078094164431355E-3</v>
      </c>
      <c r="L75" s="20">
        <f t="shared" si="15"/>
        <v>8.0681595619258066E-5</v>
      </c>
      <c r="M75" s="31">
        <f t="shared" si="19"/>
        <v>0.47027431275480525</v>
      </c>
      <c r="O75" s="18">
        <f t="shared" si="16"/>
        <v>0.92718385456678742</v>
      </c>
      <c r="Q75" s="18">
        <f t="shared" si="17"/>
        <v>0.85966990016932565</v>
      </c>
      <c r="R75" s="18">
        <f t="shared" si="18"/>
        <v>0.93038214053199286</v>
      </c>
    </row>
    <row r="76" spans="9:18" x14ac:dyDescent="0.3">
      <c r="I76">
        <v>-21</v>
      </c>
      <c r="J76" s="17">
        <f t="shared" si="13"/>
        <v>0.93358042649720174</v>
      </c>
      <c r="K76" s="19">
        <f t="shared" si="14"/>
        <v>7.6638767614166286E-3</v>
      </c>
      <c r="L76" s="20">
        <f t="shared" si="15"/>
        <v>1.9011001597561176E-4</v>
      </c>
      <c r="M76" s="31">
        <f t="shared" si="19"/>
        <v>0.50287558007522504</v>
      </c>
      <c r="O76" s="18">
        <f t="shared" si="16"/>
        <v>0.93358042649720174</v>
      </c>
      <c r="Q76" s="18">
        <f t="shared" si="17"/>
        <v>0.87157241273869712</v>
      </c>
      <c r="R76" s="18">
        <f t="shared" si="18"/>
        <v>0.9366365236415507</v>
      </c>
    </row>
    <row r="77" spans="9:18" x14ac:dyDescent="0.3">
      <c r="I77">
        <v>-20</v>
      </c>
      <c r="J77" s="17">
        <f t="shared" si="13"/>
        <v>0.93969262078590843</v>
      </c>
      <c r="K77" s="19">
        <f t="shared" si="14"/>
        <v>1.2170800719542664E-2</v>
      </c>
      <c r="L77" s="20">
        <f t="shared" si="15"/>
        <v>4.2885626542294423E-4</v>
      </c>
      <c r="M77" s="31">
        <f t="shared" si="19"/>
        <v>0.53606310212134511</v>
      </c>
      <c r="O77" s="18">
        <f t="shared" si="16"/>
        <v>0.93969262078590843</v>
      </c>
      <c r="Q77" s="18">
        <f t="shared" si="17"/>
        <v>0.88302222155948906</v>
      </c>
      <c r="R77" s="18">
        <f t="shared" si="18"/>
        <v>0.94260559819261258</v>
      </c>
    </row>
    <row r="78" spans="9:18" x14ac:dyDescent="0.3">
      <c r="I78">
        <v>-19</v>
      </c>
      <c r="J78" s="17">
        <f t="shared" si="13"/>
        <v>0.94551857559931685</v>
      </c>
      <c r="K78" s="19">
        <f t="shared" si="14"/>
        <v>1.8861243512506495E-2</v>
      </c>
      <c r="L78" s="20">
        <f t="shared" si="15"/>
        <v>9.267021720737944E-4</v>
      </c>
      <c r="M78" s="31">
        <f t="shared" si="19"/>
        <v>0.56966214851014052</v>
      </c>
      <c r="O78" s="18">
        <f t="shared" si="16"/>
        <v>0.94551857559931685</v>
      </c>
      <c r="Q78" s="18">
        <f t="shared" si="17"/>
        <v>0.89400537680336101</v>
      </c>
      <c r="R78" s="18">
        <f t="shared" si="18"/>
        <v>0.94828754594723697</v>
      </c>
    </row>
    <row r="79" spans="9:18" x14ac:dyDescent="0.3">
      <c r="I79">
        <v>-18</v>
      </c>
      <c r="J79" s="17">
        <f t="shared" si="13"/>
        <v>0.95105651629515353</v>
      </c>
      <c r="K79" s="19">
        <f t="shared" si="14"/>
        <v>2.853201938696024E-2</v>
      </c>
      <c r="L79" s="20">
        <f t="shared" si="15"/>
        <v>1.9191979539240906E-3</v>
      </c>
      <c r="M79" s="31">
        <f t="shared" si="19"/>
        <v>0.60348279257294668</v>
      </c>
      <c r="O79" s="18">
        <f t="shared" si="16"/>
        <v>0.95105651629515353</v>
      </c>
      <c r="Q79" s="18">
        <f t="shared" si="17"/>
        <v>0.90450849718747361</v>
      </c>
      <c r="R79" s="18">
        <f t="shared" si="18"/>
        <v>0.95368063612910148</v>
      </c>
    </row>
    <row r="80" spans="9:18" x14ac:dyDescent="0.3">
      <c r="I80">
        <v>-17</v>
      </c>
      <c r="J80" s="17">
        <f t="shared" si="13"/>
        <v>0.95630475596303544</v>
      </c>
      <c r="K80" s="19">
        <f t="shared" si="14"/>
        <v>4.2143202458471939E-2</v>
      </c>
      <c r="L80" s="20">
        <f t="shared" si="15"/>
        <v>3.8112268163793981E-3</v>
      </c>
      <c r="M80" s="31">
        <f t="shared" si="19"/>
        <v>0.63732139600357707</v>
      </c>
      <c r="O80" s="18">
        <f t="shared" si="16"/>
        <v>0.95630475596303544</v>
      </c>
      <c r="Q80" s="18">
        <f t="shared" si="17"/>
        <v>0.91451878627752081</v>
      </c>
      <c r="R80" s="18">
        <f t="shared" si="18"/>
        <v>0.95878322595067045</v>
      </c>
    </row>
    <row r="81" spans="9:22" x14ac:dyDescent="0.3">
      <c r="I81">
        <v>-16</v>
      </c>
      <c r="J81" s="17">
        <f t="shared" si="13"/>
        <v>0.96126169593831889</v>
      </c>
      <c r="K81" s="19">
        <f t="shared" si="14"/>
        <v>6.079514406277442E-2</v>
      </c>
      <c r="L81" s="20">
        <f t="shared" si="15"/>
        <v>7.2606395995564741E-3</v>
      </c>
      <c r="M81" s="31">
        <f t="shared" si="19"/>
        <v>0.67096240353362602</v>
      </c>
      <c r="O81" s="18">
        <f t="shared" si="16"/>
        <v>0.96126169593831889</v>
      </c>
      <c r="Q81" s="18">
        <f t="shared" si="17"/>
        <v>0.92402404807821303</v>
      </c>
      <c r="R81" s="18">
        <f t="shared" si="18"/>
        <v>0.96359376111369899</v>
      </c>
    </row>
    <row r="82" spans="9:22" x14ac:dyDescent="0.3">
      <c r="I82">
        <v>-15</v>
      </c>
      <c r="J82" s="17">
        <f t="shared" si="13"/>
        <v>0.96592582628906831</v>
      </c>
      <c r="K82" s="19">
        <f t="shared" si="14"/>
        <v>8.5676571194000947E-2</v>
      </c>
      <c r="L82" s="20">
        <f t="shared" si="15"/>
        <v>1.3275032034325543E-2</v>
      </c>
      <c r="M82" s="31">
        <f t="shared" si="19"/>
        <v>0.7041804315731105</v>
      </c>
      <c r="O82" s="18">
        <f t="shared" si="16"/>
        <v>0.96592582628906831</v>
      </c>
      <c r="Q82" s="18">
        <f t="shared" si="17"/>
        <v>0.93301270189221941</v>
      </c>
      <c r="R82" s="18">
        <f t="shared" si="18"/>
        <v>0.96811077628253073</v>
      </c>
    </row>
    <row r="83" spans="9:22" x14ac:dyDescent="0.3">
      <c r="I83">
        <v>-14</v>
      </c>
      <c r="J83" s="17">
        <f t="shared" si="13"/>
        <v>0.97029572627599647</v>
      </c>
      <c r="K83" s="19">
        <f t="shared" si="14"/>
        <v>0.11797904462036872</v>
      </c>
      <c r="L83" s="20">
        <f t="shared" si="15"/>
        <v>2.3303377911364435E-2</v>
      </c>
      <c r="M83" s="31">
        <f t="shared" si="19"/>
        <v>0.73674262725672479</v>
      </c>
      <c r="O83" s="18">
        <f t="shared" si="16"/>
        <v>0.97029572627599647</v>
      </c>
      <c r="Q83" s="18">
        <f t="shared" si="17"/>
        <v>0.94147379642946349</v>
      </c>
      <c r="R83" s="18">
        <f t="shared" si="18"/>
        <v>0.97233289553061175</v>
      </c>
    </row>
    <row r="84" spans="9:22" x14ac:dyDescent="0.3">
      <c r="I84">
        <v>-13</v>
      </c>
      <c r="J84" s="17">
        <f t="shared" si="13"/>
        <v>0.97437006478523525</v>
      </c>
      <c r="K84" s="19">
        <f t="shared" si="14"/>
        <v>0.15877701113633599</v>
      </c>
      <c r="L84" s="20">
        <f t="shared" si="15"/>
        <v>3.9290148932195797E-2</v>
      </c>
      <c r="M84" s="31">
        <f t="shared" si="19"/>
        <v>0.76841126701979257</v>
      </c>
      <c r="O84" s="18">
        <f t="shared" si="16"/>
        <v>0.97437006478523525</v>
      </c>
      <c r="Q84" s="18">
        <f t="shared" si="17"/>
        <v>0.94939702314958352</v>
      </c>
      <c r="R84" s="18">
        <f t="shared" si="18"/>
        <v>0.97625883275952896</v>
      </c>
    </row>
    <row r="85" spans="9:22" x14ac:dyDescent="0.3">
      <c r="I85">
        <v>-12</v>
      </c>
      <c r="J85" s="17">
        <f t="shared" si="13"/>
        <v>0.97814760073380569</v>
      </c>
      <c r="K85" s="19">
        <f t="shared" si="14"/>
        <v>0.20887836294174889</v>
      </c>
      <c r="L85" s="20">
        <f t="shared" si="15"/>
        <v>6.3646744274133707E-2</v>
      </c>
      <c r="M85" s="31">
        <f t="shared" si="19"/>
        <v>0.79894655691312477</v>
      </c>
      <c r="O85" s="18">
        <f t="shared" si="16"/>
        <v>0.97814760073380569</v>
      </c>
      <c r="Q85" s="18">
        <f t="shared" si="17"/>
        <v>0.9567727288213006</v>
      </c>
      <c r="R85" s="18">
        <f t="shared" si="18"/>
        <v>0.97988739209072273</v>
      </c>
    </row>
    <row r="86" spans="9:22" x14ac:dyDescent="0.3">
      <c r="I86">
        <v>-11</v>
      </c>
      <c r="J86" s="17">
        <f t="shared" si="13"/>
        <v>0.98162718344766398</v>
      </c>
      <c r="K86" s="19">
        <f t="shared" si="14"/>
        <v>0.26865722575302292</v>
      </c>
      <c r="L86" s="20">
        <f t="shared" si="15"/>
        <v>9.9090124821540476E-2</v>
      </c>
      <c r="M86" s="31">
        <f t="shared" si="19"/>
        <v>0.82810959057085953</v>
      </c>
      <c r="O86" s="18">
        <f t="shared" si="16"/>
        <v>0.98162718344766398</v>
      </c>
      <c r="Q86" s="18">
        <f t="shared" si="17"/>
        <v>0.96359192728339371</v>
      </c>
      <c r="R86" s="18">
        <f t="shared" si="18"/>
        <v>0.98321746822993905</v>
      </c>
    </row>
    <row r="87" spans="9:22" x14ac:dyDescent="0.3">
      <c r="I87">
        <v>-10</v>
      </c>
      <c r="J87" s="17">
        <f t="shared" si="13"/>
        <v>0.98480775301220802</v>
      </c>
      <c r="K87" s="19">
        <f t="shared" si="14"/>
        <v>0.33788756097468126</v>
      </c>
      <c r="L87" s="20">
        <f t="shared" si="15"/>
        <v>0.14830924865615241</v>
      </c>
      <c r="M87" s="31">
        <f t="shared" si="19"/>
        <v>0.85566541527947737</v>
      </c>
      <c r="O87" s="18">
        <f t="shared" si="16"/>
        <v>0.98480775301220802</v>
      </c>
      <c r="Q87" s="18">
        <f t="shared" si="17"/>
        <v>0.9698463103929541</v>
      </c>
      <c r="R87" s="18">
        <f t="shared" si="18"/>
        <v>0.98624804680366596</v>
      </c>
    </row>
    <row r="88" spans="9:22" x14ac:dyDescent="0.3">
      <c r="I88">
        <v>-9</v>
      </c>
      <c r="J88" s="17">
        <f t="shared" si="13"/>
        <v>0.98768834059513777</v>
      </c>
      <c r="K88" s="19">
        <f t="shared" si="14"/>
        <v>0.41560164280815265</v>
      </c>
      <c r="L88" s="20">
        <f t="shared" si="15"/>
        <v>0.21345197061005544</v>
      </c>
      <c r="M88" s="31">
        <f t="shared" si="19"/>
        <v>0.88138615215245386</v>
      </c>
      <c r="O88" s="18">
        <f t="shared" si="16"/>
        <v>0.98768834059513777</v>
      </c>
      <c r="Q88" s="18">
        <f t="shared" si="17"/>
        <v>0.97552825814757682</v>
      </c>
      <c r="R88" s="18">
        <f t="shared" si="18"/>
        <v>0.98897820466837083</v>
      </c>
    </row>
    <row r="89" spans="9:22" x14ac:dyDescent="0.3">
      <c r="I89">
        <v>-8</v>
      </c>
      <c r="J89" s="17">
        <f t="shared" si="13"/>
        <v>0.99026806874157036</v>
      </c>
      <c r="K89" s="19">
        <f t="shared" si="14"/>
        <v>0.49999999999999994</v>
      </c>
      <c r="L89" s="20">
        <f t="shared" si="15"/>
        <v>0.29547806294253415</v>
      </c>
      <c r="M89" s="31">
        <f t="shared" si="19"/>
        <v>0.90505411316220041</v>
      </c>
      <c r="O89" s="18">
        <f t="shared" si="16"/>
        <v>0.99026806874157036</v>
      </c>
      <c r="Q89" s="18">
        <f t="shared" si="17"/>
        <v>0.98063084796915956</v>
      </c>
      <c r="R89" s="18">
        <f t="shared" si="18"/>
        <v>0.99140711019144911</v>
      </c>
    </row>
    <row r="90" spans="9:22" x14ac:dyDescent="0.3">
      <c r="I90">
        <v>-7</v>
      </c>
      <c r="J90" s="17">
        <f t="shared" si="13"/>
        <v>0.99254615164132198</v>
      </c>
      <c r="K90" s="19">
        <f t="shared" si="14"/>
        <v>0.58843767972580707</v>
      </c>
      <c r="L90" s="20">
        <f t="shared" si="15"/>
        <v>0.39348795711098733</v>
      </c>
      <c r="M90" s="31">
        <f t="shared" si="19"/>
        <v>0.92646485585688521</v>
      </c>
      <c r="O90" s="18">
        <f t="shared" si="16"/>
        <v>0.99254615164132198</v>
      </c>
      <c r="Q90" s="18">
        <f t="shared" si="17"/>
        <v>0.98514786313799818</v>
      </c>
      <c r="R90" s="18">
        <f t="shared" si="18"/>
        <v>0.99353402350478759</v>
      </c>
      <c r="U90" t="s">
        <v>39</v>
      </c>
    </row>
    <row r="91" spans="9:22" x14ac:dyDescent="0.3">
      <c r="I91">
        <v>-6</v>
      </c>
      <c r="J91" s="17">
        <f t="shared" si="13"/>
        <v>0.99452189536827329</v>
      </c>
      <c r="K91" s="19">
        <f t="shared" si="14"/>
        <v>0.67750501850774181</v>
      </c>
      <c r="L91" s="20">
        <f t="shared" si="15"/>
        <v>0.5041919443265146</v>
      </c>
      <c r="M91" s="31">
        <f t="shared" si="19"/>
        <v>0.94543011609531047</v>
      </c>
      <c r="O91" s="18">
        <f t="shared" si="16"/>
        <v>0.99452189536827329</v>
      </c>
      <c r="Q91" s="18">
        <f t="shared" si="17"/>
        <v>0.98907380036690273</v>
      </c>
      <c r="R91" s="18">
        <f t="shared" si="18"/>
        <v>0.99535829673001008</v>
      </c>
      <c r="U91" s="21">
        <f>+B16/2</f>
        <v>59.999999997707086</v>
      </c>
      <c r="V91">
        <v>0</v>
      </c>
    </row>
    <row r="92" spans="9:22" x14ac:dyDescent="0.3">
      <c r="I92">
        <v>-5</v>
      </c>
      <c r="J92" s="17">
        <f t="shared" si="13"/>
        <v>0.99619469809174555</v>
      </c>
      <c r="K92" s="19">
        <f t="shared" si="14"/>
        <v>0.76320976478986391</v>
      </c>
      <c r="L92" s="20">
        <f t="shared" si="15"/>
        <v>0.62170602877373615</v>
      </c>
      <c r="M92" s="31">
        <f t="shared" si="19"/>
        <v>0.96178056012743718</v>
      </c>
      <c r="O92" s="18">
        <f t="shared" si="16"/>
        <v>0.99619469809174555</v>
      </c>
      <c r="Q92" s="18">
        <f t="shared" si="17"/>
        <v>0.99240387650610407</v>
      </c>
      <c r="R92" s="18">
        <f t="shared" si="18"/>
        <v>0.99687937417578554</v>
      </c>
      <c r="U92" s="21">
        <f>+B16/2</f>
        <v>59.999999997707086</v>
      </c>
      <c r="V92">
        <v>1</v>
      </c>
    </row>
    <row r="93" spans="9:22" x14ac:dyDescent="0.3">
      <c r="I93">
        <v>-4</v>
      </c>
      <c r="J93" s="17">
        <f t="shared" si="13"/>
        <v>0.9975640502598242</v>
      </c>
      <c r="K93" s="19">
        <f t="shared" si="14"/>
        <v>0.84125275081380402</v>
      </c>
      <c r="L93" s="20">
        <f t="shared" si="15"/>
        <v>0.73782766915493525</v>
      </c>
      <c r="M93" s="31">
        <f t="shared" si="19"/>
        <v>0.97536829984550077</v>
      </c>
      <c r="O93" s="18">
        <f t="shared" si="16"/>
        <v>0.9975640502598242</v>
      </c>
      <c r="Q93" s="18">
        <f t="shared" si="17"/>
        <v>0.99513403437078507</v>
      </c>
      <c r="R93" s="18">
        <f t="shared" si="18"/>
        <v>0.99809679250716821</v>
      </c>
    </row>
    <row r="94" spans="9:22" x14ac:dyDescent="0.3">
      <c r="I94">
        <v>-3</v>
      </c>
      <c r="J94" s="17">
        <f t="shared" si="13"/>
        <v>0.99862953475457383</v>
      </c>
      <c r="K94" s="19">
        <f t="shared" si="14"/>
        <v>0.90737368630960291</v>
      </c>
      <c r="L94" s="20">
        <f t="shared" si="15"/>
        <v>0.84285153307991512</v>
      </c>
      <c r="M94" s="31">
        <f t="shared" si="19"/>
        <v>0.98606911899821237</v>
      </c>
      <c r="O94" s="18">
        <f t="shared" si="16"/>
        <v>0.99862953475457383</v>
      </c>
      <c r="Q94" s="18">
        <f t="shared" si="17"/>
        <v>0.99726094768413653</v>
      </c>
      <c r="R94" s="18">
        <f t="shared" si="18"/>
        <v>0.99901018088688431</v>
      </c>
    </row>
    <row r="95" spans="9:22" x14ac:dyDescent="0.3">
      <c r="I95">
        <v>-2</v>
      </c>
      <c r="J95" s="17">
        <f t="shared" si="13"/>
        <v>0.99939082701909576</v>
      </c>
      <c r="K95" s="19">
        <f t="shared" si="14"/>
        <v>0.95772994812448309</v>
      </c>
      <c r="L95" s="20">
        <f t="shared" si="15"/>
        <v>0.92684873678984825</v>
      </c>
      <c r="M95" s="31">
        <f t="shared" si="19"/>
        <v>0.99378436351867461</v>
      </c>
      <c r="O95" s="18">
        <f t="shared" si="16"/>
        <v>0.99939082701909576</v>
      </c>
      <c r="Q95" s="18">
        <f t="shared" si="17"/>
        <v>0.99878202512991221</v>
      </c>
      <c r="R95" s="18">
        <f t="shared" si="18"/>
        <v>0.99961926108773136</v>
      </c>
    </row>
    <row r="96" spans="9:22" x14ac:dyDescent="0.3">
      <c r="I96">
        <v>-1</v>
      </c>
      <c r="J96" s="17">
        <f t="shared" si="13"/>
        <v>0.99984769515639127</v>
      </c>
      <c r="K96" s="19">
        <f t="shared" si="14"/>
        <v>0.98926235142442132</v>
      </c>
      <c r="L96" s="20">
        <f t="shared" si="15"/>
        <v>0.98119081040418044</v>
      </c>
      <c r="M96" s="31">
        <f t="shared" si="19"/>
        <v>0.99844245574053236</v>
      </c>
      <c r="O96" s="18">
        <f t="shared" si="16"/>
        <v>0.99984769515639127</v>
      </c>
      <c r="Q96" s="18">
        <f t="shared" si="17"/>
        <v>0.99969541350954794</v>
      </c>
      <c r="R96" s="18">
        <f t="shared" si="18"/>
        <v>0.99992384757816044</v>
      </c>
    </row>
    <row r="97" spans="9:21" x14ac:dyDescent="0.3">
      <c r="I97">
        <v>0</v>
      </c>
      <c r="J97" s="17">
        <f t="shared" si="13"/>
        <v>1</v>
      </c>
      <c r="K97" s="19">
        <f t="shared" si="14"/>
        <v>1</v>
      </c>
      <c r="L97" s="20">
        <f t="shared" si="15"/>
        <v>1</v>
      </c>
      <c r="M97" s="31">
        <f t="shared" si="19"/>
        <v>1</v>
      </c>
      <c r="O97" s="18">
        <f t="shared" si="16"/>
        <v>1</v>
      </c>
      <c r="Q97" s="18">
        <f t="shared" si="17"/>
        <v>1</v>
      </c>
      <c r="R97" s="18"/>
      <c r="U97" s="17">
        <f>1-$O97^($B$15+1)</f>
        <v>0</v>
      </c>
    </row>
    <row r="98" spans="9:21" x14ac:dyDescent="0.3">
      <c r="I98">
        <v>1</v>
      </c>
      <c r="J98" s="17">
        <f t="shared" si="13"/>
        <v>0.99984769515639127</v>
      </c>
      <c r="K98" s="19">
        <f t="shared" si="14"/>
        <v>0.98926235142442132</v>
      </c>
      <c r="L98" s="20">
        <f t="shared" si="15"/>
        <v>0.98119081040418044</v>
      </c>
      <c r="M98" s="31">
        <f t="shared" si="19"/>
        <v>0.99844245574053236</v>
      </c>
      <c r="O98" s="18">
        <f t="shared" si="16"/>
        <v>0.99984769515639127</v>
      </c>
      <c r="U98" s="17">
        <f t="shared" ref="U98:U161" si="20">1-$O98^($B$15+1)</f>
        <v>3.0458649045206343E-4</v>
      </c>
    </row>
    <row r="99" spans="9:21" x14ac:dyDescent="0.3">
      <c r="I99">
        <v>2</v>
      </c>
      <c r="J99" s="17">
        <f t="shared" si="13"/>
        <v>0.99939082701909576</v>
      </c>
      <c r="K99" s="19">
        <f t="shared" si="14"/>
        <v>0.95772994812448309</v>
      </c>
      <c r="L99" s="20">
        <f t="shared" si="15"/>
        <v>0.92684873678984825</v>
      </c>
      <c r="M99" s="31">
        <f t="shared" si="19"/>
        <v>0.99378436351867461</v>
      </c>
      <c r="O99" s="18">
        <f t="shared" si="16"/>
        <v>0.99939082701909576</v>
      </c>
      <c r="U99" s="17">
        <f t="shared" si="20"/>
        <v>1.2179748700877902E-3</v>
      </c>
    </row>
    <row r="100" spans="9:21" x14ac:dyDescent="0.3">
      <c r="I100">
        <v>3</v>
      </c>
      <c r="J100" s="17">
        <f t="shared" si="13"/>
        <v>0.99862953475457383</v>
      </c>
      <c r="K100" s="19">
        <f t="shared" si="14"/>
        <v>0.90737368630960291</v>
      </c>
      <c r="L100" s="20">
        <f t="shared" si="15"/>
        <v>0.84285153307991512</v>
      </c>
      <c r="M100" s="31">
        <f t="shared" si="19"/>
        <v>0.98606911899821237</v>
      </c>
      <c r="O100" s="18">
        <f t="shared" si="16"/>
        <v>0.99862953475457383</v>
      </c>
      <c r="U100" s="17">
        <f t="shared" si="20"/>
        <v>2.7390523158634661E-3</v>
      </c>
    </row>
    <row r="101" spans="9:21" x14ac:dyDescent="0.3">
      <c r="I101">
        <v>4</v>
      </c>
      <c r="J101" s="17">
        <f t="shared" si="13"/>
        <v>0.9975640502598242</v>
      </c>
      <c r="K101" s="19">
        <f t="shared" si="14"/>
        <v>0.84125275081380402</v>
      </c>
      <c r="L101" s="20">
        <f t="shared" si="15"/>
        <v>0.73782766915493525</v>
      </c>
      <c r="M101" s="31">
        <f t="shared" si="19"/>
        <v>0.97536829984550077</v>
      </c>
      <c r="O101" s="18">
        <f t="shared" si="16"/>
        <v>0.9975640502598242</v>
      </c>
      <c r="U101" s="17">
        <f t="shared" si="20"/>
        <v>4.86596562921493E-3</v>
      </c>
    </row>
    <row r="102" spans="9:21" x14ac:dyDescent="0.3">
      <c r="I102">
        <v>5</v>
      </c>
      <c r="J102" s="17">
        <f t="shared" si="13"/>
        <v>0.99619469809174555</v>
      </c>
      <c r="K102" s="19">
        <f t="shared" si="14"/>
        <v>0.76320976478986391</v>
      </c>
      <c r="L102" s="20">
        <f t="shared" si="15"/>
        <v>0.62170602877373615</v>
      </c>
      <c r="M102" s="31">
        <f t="shared" si="19"/>
        <v>0.96178056012743718</v>
      </c>
      <c r="O102" s="18">
        <f t="shared" si="16"/>
        <v>0.99619469809174555</v>
      </c>
      <c r="U102" s="17">
        <f t="shared" si="20"/>
        <v>7.5961234938959343E-3</v>
      </c>
    </row>
    <row r="103" spans="9:21" x14ac:dyDescent="0.3">
      <c r="I103">
        <v>6</v>
      </c>
      <c r="J103" s="17">
        <f t="shared" ref="J103:J134" si="21">$O103^$B$15</f>
        <v>0.99452189536827329</v>
      </c>
      <c r="K103" s="19">
        <f t="shared" ref="K103:K134" si="22">$O103^D$15</f>
        <v>0.67750501850774181</v>
      </c>
      <c r="L103" s="20">
        <f t="shared" ref="L103:L134" si="23">$O103^E$15</f>
        <v>0.5041919443265146</v>
      </c>
      <c r="M103" s="31">
        <f t="shared" si="19"/>
        <v>0.94543011609531047</v>
      </c>
      <c r="O103" s="18">
        <f t="shared" ref="O103:O134" si="24">COS(I103*PI()/180)</f>
        <v>0.99452189536827329</v>
      </c>
      <c r="U103" s="17">
        <f t="shared" si="20"/>
        <v>1.0926199633097267E-2</v>
      </c>
    </row>
    <row r="104" spans="9:21" x14ac:dyDescent="0.3">
      <c r="I104">
        <v>7</v>
      </c>
      <c r="J104" s="17">
        <f t="shared" si="21"/>
        <v>0.99254615164132198</v>
      </c>
      <c r="K104" s="19">
        <f t="shared" si="22"/>
        <v>0.58843767972580707</v>
      </c>
      <c r="L104" s="20">
        <f t="shared" si="23"/>
        <v>0.39348795711098733</v>
      </c>
      <c r="M104" s="31">
        <f t="shared" si="19"/>
        <v>0.92646485585688521</v>
      </c>
      <c r="O104" s="18">
        <f t="shared" si="24"/>
        <v>0.99254615164132198</v>
      </c>
      <c r="U104" s="17">
        <f t="shared" si="20"/>
        <v>1.4852136862001819E-2</v>
      </c>
    </row>
    <row r="105" spans="9:21" x14ac:dyDescent="0.3">
      <c r="I105">
        <v>8</v>
      </c>
      <c r="J105" s="17">
        <f t="shared" si="21"/>
        <v>0.99026806874157036</v>
      </c>
      <c r="K105" s="19">
        <f t="shared" si="22"/>
        <v>0.49999999999999994</v>
      </c>
      <c r="L105" s="20">
        <f t="shared" si="23"/>
        <v>0.29547806294253415</v>
      </c>
      <c r="M105" s="31">
        <f t="shared" si="19"/>
        <v>0.90505411316220041</v>
      </c>
      <c r="O105" s="18">
        <f t="shared" si="24"/>
        <v>0.99026806874157036</v>
      </c>
      <c r="U105" s="17">
        <f t="shared" si="20"/>
        <v>1.9369152030840442E-2</v>
      </c>
    </row>
    <row r="106" spans="9:21" x14ac:dyDescent="0.3">
      <c r="I106">
        <v>9</v>
      </c>
      <c r="J106" s="17">
        <f t="shared" si="21"/>
        <v>0.98768834059513777</v>
      </c>
      <c r="K106" s="19">
        <f t="shared" si="22"/>
        <v>0.41560164280815265</v>
      </c>
      <c r="L106" s="20">
        <f t="shared" si="23"/>
        <v>0.21345197061005544</v>
      </c>
      <c r="M106" s="31">
        <f t="shared" si="19"/>
        <v>0.88138615215245386</v>
      </c>
      <c r="O106" s="18">
        <f t="shared" si="24"/>
        <v>0.98768834059513777</v>
      </c>
      <c r="U106" s="17">
        <f t="shared" si="20"/>
        <v>2.4471741852423179E-2</v>
      </c>
    </row>
    <row r="107" spans="9:21" x14ac:dyDescent="0.3">
      <c r="I107">
        <v>10</v>
      </c>
      <c r="J107" s="17">
        <f t="shared" si="21"/>
        <v>0.98480775301220802</v>
      </c>
      <c r="K107" s="19">
        <f t="shared" si="22"/>
        <v>0.33788756097468126</v>
      </c>
      <c r="L107" s="20">
        <f t="shared" si="23"/>
        <v>0.14830924865615241</v>
      </c>
      <c r="M107" s="31">
        <f t="shared" si="19"/>
        <v>0.85566541527947737</v>
      </c>
      <c r="O107" s="18">
        <f t="shared" si="24"/>
        <v>0.98480775301220802</v>
      </c>
      <c r="U107" s="17">
        <f t="shared" si="20"/>
        <v>3.0153689607045897E-2</v>
      </c>
    </row>
    <row r="108" spans="9:21" x14ac:dyDescent="0.3">
      <c r="I108">
        <v>11</v>
      </c>
      <c r="J108" s="17">
        <f t="shared" si="21"/>
        <v>0.98162718344766398</v>
      </c>
      <c r="K108" s="19">
        <f t="shared" si="22"/>
        <v>0.26865722575302292</v>
      </c>
      <c r="L108" s="20">
        <f t="shared" si="23"/>
        <v>9.9090124821540476E-2</v>
      </c>
      <c r="M108" s="31">
        <f t="shared" si="19"/>
        <v>0.82810959057085953</v>
      </c>
      <c r="O108" s="18">
        <f t="shared" si="24"/>
        <v>0.98162718344766398</v>
      </c>
      <c r="U108" s="17">
        <f t="shared" si="20"/>
        <v>3.6408072716606288E-2</v>
      </c>
    </row>
    <row r="109" spans="9:21" x14ac:dyDescent="0.3">
      <c r="I109">
        <v>12</v>
      </c>
      <c r="J109" s="17">
        <f t="shared" si="21"/>
        <v>0.97814760073380569</v>
      </c>
      <c r="K109" s="19">
        <f t="shared" si="22"/>
        <v>0.20887836294174889</v>
      </c>
      <c r="L109" s="20">
        <f t="shared" si="23"/>
        <v>6.3646744274133707E-2</v>
      </c>
      <c r="M109" s="31">
        <f t="shared" si="19"/>
        <v>0.79894655691312477</v>
      </c>
      <c r="O109" s="18">
        <f t="shared" si="24"/>
        <v>0.97814760073380569</v>
      </c>
      <c r="U109" s="17">
        <f t="shared" si="20"/>
        <v>4.32272711786994E-2</v>
      </c>
    </row>
    <row r="110" spans="9:21" x14ac:dyDescent="0.3">
      <c r="I110">
        <v>13</v>
      </c>
      <c r="J110" s="17">
        <f t="shared" si="21"/>
        <v>0.97437006478523525</v>
      </c>
      <c r="K110" s="19">
        <f t="shared" si="22"/>
        <v>0.15877701113633599</v>
      </c>
      <c r="L110" s="20">
        <f t="shared" si="23"/>
        <v>3.9290148932195797E-2</v>
      </c>
      <c r="M110" s="31">
        <f t="shared" si="19"/>
        <v>0.76841126701979257</v>
      </c>
      <c r="O110" s="18">
        <f t="shared" si="24"/>
        <v>0.97437006478523525</v>
      </c>
      <c r="U110" s="17">
        <f t="shared" si="20"/>
        <v>5.0602976850416481E-2</v>
      </c>
    </row>
    <row r="111" spans="9:21" x14ac:dyDescent="0.3">
      <c r="I111">
        <v>14</v>
      </c>
      <c r="J111" s="17">
        <f t="shared" si="21"/>
        <v>0.97029572627599647</v>
      </c>
      <c r="K111" s="19">
        <f t="shared" si="22"/>
        <v>0.11797904462036872</v>
      </c>
      <c r="L111" s="20">
        <f t="shared" si="23"/>
        <v>2.3303377911364435E-2</v>
      </c>
      <c r="M111" s="31">
        <f t="shared" si="19"/>
        <v>0.73674262725672479</v>
      </c>
      <c r="O111" s="18">
        <f t="shared" si="24"/>
        <v>0.97029572627599647</v>
      </c>
      <c r="U111" s="17">
        <f t="shared" si="20"/>
        <v>5.8526203570536506E-2</v>
      </c>
    </row>
    <row r="112" spans="9:21" x14ac:dyDescent="0.3">
      <c r="I112">
        <v>15</v>
      </c>
      <c r="J112" s="17">
        <f t="shared" si="21"/>
        <v>0.96592582628906831</v>
      </c>
      <c r="K112" s="19">
        <f t="shared" si="22"/>
        <v>8.5676571194000947E-2</v>
      </c>
      <c r="L112" s="20">
        <f t="shared" si="23"/>
        <v>1.3275032034325543E-2</v>
      </c>
      <c r="M112" s="31">
        <f t="shared" si="19"/>
        <v>0.7041804315731105</v>
      </c>
      <c r="O112" s="18">
        <f t="shared" si="24"/>
        <v>0.96592582628906831</v>
      </c>
      <c r="U112" s="17">
        <f t="shared" si="20"/>
        <v>6.6987298107780591E-2</v>
      </c>
    </row>
    <row r="113" spans="9:21" x14ac:dyDescent="0.3">
      <c r="I113">
        <v>16</v>
      </c>
      <c r="J113" s="17">
        <f t="shared" si="21"/>
        <v>0.96126169593831889</v>
      </c>
      <c r="K113" s="19">
        <f t="shared" si="22"/>
        <v>6.079514406277442E-2</v>
      </c>
      <c r="L113" s="20">
        <f t="shared" si="23"/>
        <v>7.2606395995564741E-3</v>
      </c>
      <c r="M113" s="31">
        <f t="shared" si="19"/>
        <v>0.67096240353362602</v>
      </c>
      <c r="O113" s="18">
        <f t="shared" si="24"/>
        <v>0.96126169593831889</v>
      </c>
      <c r="U113" s="17">
        <f t="shared" si="20"/>
        <v>7.5975951921786966E-2</v>
      </c>
    </row>
    <row r="114" spans="9:21" x14ac:dyDescent="0.3">
      <c r="I114">
        <v>17</v>
      </c>
      <c r="J114" s="17">
        <f t="shared" si="21"/>
        <v>0.95630475596303544</v>
      </c>
      <c r="K114" s="19">
        <f t="shared" si="22"/>
        <v>4.2143202458471939E-2</v>
      </c>
      <c r="L114" s="20">
        <f t="shared" si="23"/>
        <v>3.8112268163793981E-3</v>
      </c>
      <c r="M114" s="31">
        <f t="shared" si="19"/>
        <v>0.63732139600357707</v>
      </c>
      <c r="O114" s="18">
        <f t="shared" si="24"/>
        <v>0.95630475596303544</v>
      </c>
      <c r="U114" s="17">
        <f t="shared" si="20"/>
        <v>8.5481213722479188E-2</v>
      </c>
    </row>
    <row r="115" spans="9:21" x14ac:dyDescent="0.3">
      <c r="I115">
        <v>18</v>
      </c>
      <c r="J115" s="17">
        <f t="shared" si="21"/>
        <v>0.95105651629515353</v>
      </c>
      <c r="K115" s="19">
        <f t="shared" si="22"/>
        <v>2.853201938696024E-2</v>
      </c>
      <c r="L115" s="20">
        <f t="shared" si="23"/>
        <v>1.9191979539240906E-3</v>
      </c>
      <c r="M115" s="31">
        <f t="shared" si="19"/>
        <v>0.60348279257294668</v>
      </c>
      <c r="O115" s="18">
        <f t="shared" si="24"/>
        <v>0.95105651629515353</v>
      </c>
      <c r="U115" s="17">
        <f t="shared" si="20"/>
        <v>9.5491502812526385E-2</v>
      </c>
    </row>
    <row r="116" spans="9:21" x14ac:dyDescent="0.3">
      <c r="I116">
        <v>19</v>
      </c>
      <c r="J116" s="17">
        <f t="shared" si="21"/>
        <v>0.94551857559931685</v>
      </c>
      <c r="K116" s="19">
        <f t="shared" si="22"/>
        <v>1.8861243512506495E-2</v>
      </c>
      <c r="L116" s="20">
        <f t="shared" si="23"/>
        <v>9.267021720737944E-4</v>
      </c>
      <c r="M116" s="31">
        <f t="shared" si="19"/>
        <v>0.56966214851014052</v>
      </c>
      <c r="O116" s="18">
        <f t="shared" si="24"/>
        <v>0.94551857559931685</v>
      </c>
      <c r="U116" s="17">
        <f t="shared" si="20"/>
        <v>0.10599462319663899</v>
      </c>
    </row>
    <row r="117" spans="9:21" x14ac:dyDescent="0.3">
      <c r="I117">
        <v>20</v>
      </c>
      <c r="J117" s="17">
        <f t="shared" si="21"/>
        <v>0.93969262078590843</v>
      </c>
      <c r="K117" s="19">
        <f t="shared" si="22"/>
        <v>1.2170800719542664E-2</v>
      </c>
      <c r="L117" s="20">
        <f t="shared" si="23"/>
        <v>4.2885626542294423E-4</v>
      </c>
      <c r="M117" s="31">
        <f t="shared" si="19"/>
        <v>0.53606310212134511</v>
      </c>
      <c r="O117" s="18">
        <f t="shared" si="24"/>
        <v>0.93969262078590843</v>
      </c>
      <c r="U117" s="17">
        <f t="shared" si="20"/>
        <v>0.11697777844051094</v>
      </c>
    </row>
    <row r="118" spans="9:21" x14ac:dyDescent="0.3">
      <c r="I118">
        <v>21</v>
      </c>
      <c r="J118" s="17">
        <f t="shared" si="21"/>
        <v>0.93358042649720174</v>
      </c>
      <c r="K118" s="19">
        <f t="shared" si="22"/>
        <v>7.6638767614166286E-3</v>
      </c>
      <c r="L118" s="20">
        <f t="shared" si="23"/>
        <v>1.9011001597561176E-4</v>
      </c>
      <c r="M118" s="31">
        <f t="shared" si="19"/>
        <v>0.50287558007522504</v>
      </c>
      <c r="O118" s="18">
        <f t="shared" si="24"/>
        <v>0.93358042649720174</v>
      </c>
      <c r="U118" s="17">
        <f t="shared" si="20"/>
        <v>0.12842758726130288</v>
      </c>
    </row>
    <row r="119" spans="9:21" x14ac:dyDescent="0.3">
      <c r="I119">
        <v>22</v>
      </c>
      <c r="J119" s="17">
        <f t="shared" si="21"/>
        <v>0.92718385456678742</v>
      </c>
      <c r="K119" s="19">
        <f t="shared" si="22"/>
        <v>4.7078094164431355E-3</v>
      </c>
      <c r="L119" s="20">
        <f t="shared" si="23"/>
        <v>8.0681595619258066E-5</v>
      </c>
      <c r="M119" s="31">
        <f t="shared" si="19"/>
        <v>0.47027431275480525</v>
      </c>
      <c r="O119" s="18">
        <f t="shared" si="24"/>
        <v>0.92718385456678742</v>
      </c>
      <c r="U119" s="17">
        <f t="shared" si="20"/>
        <v>0.14033009983067435</v>
      </c>
    </row>
    <row r="120" spans="9:21" x14ac:dyDescent="0.3">
      <c r="I120">
        <v>23</v>
      </c>
      <c r="J120" s="17">
        <f t="shared" si="21"/>
        <v>0.92050485345244037</v>
      </c>
      <c r="K120" s="19">
        <f t="shared" si="22"/>
        <v>2.8202086754227488E-3</v>
      </c>
      <c r="L120" s="20">
        <f t="shared" si="23"/>
        <v>3.2761075129362475E-5</v>
      </c>
      <c r="M120" s="31">
        <f t="shared" si="19"/>
        <v>0.43841766823229861</v>
      </c>
      <c r="O120" s="18">
        <f t="shared" si="24"/>
        <v>0.92050485345244037</v>
      </c>
      <c r="U120" s="17">
        <f t="shared" si="20"/>
        <v>0.15267081477050126</v>
      </c>
    </row>
    <row r="121" spans="9:21" x14ac:dyDescent="0.3">
      <c r="I121">
        <v>24</v>
      </c>
      <c r="J121" s="17">
        <f t="shared" si="21"/>
        <v>0.91354545764260087</v>
      </c>
      <c r="K121" s="19">
        <f t="shared" si="22"/>
        <v>1.6469360279551359E-3</v>
      </c>
      <c r="L121" s="20">
        <f t="shared" si="23"/>
        <v>1.271968986909649E-5</v>
      </c>
      <c r="M121" s="31">
        <f t="shared" si="19"/>
        <v>0.40744680622892498</v>
      </c>
      <c r="O121" s="18">
        <f t="shared" si="24"/>
        <v>0.91354545764260087</v>
      </c>
      <c r="U121" s="17">
        <f t="shared" si="20"/>
        <v>0.16543469682057099</v>
      </c>
    </row>
    <row r="122" spans="9:21" x14ac:dyDescent="0.3">
      <c r="I122">
        <v>25</v>
      </c>
      <c r="J122" s="17">
        <f t="shared" si="21"/>
        <v>0.90630778703664994</v>
      </c>
      <c r="K122" s="19">
        <f t="shared" si="22"/>
        <v>9.3720812007158075E-4</v>
      </c>
      <c r="L122" s="20">
        <f t="shared" si="23"/>
        <v>4.7188030510338735E-6</v>
      </c>
      <c r="M122" s="31">
        <f t="shared" si="19"/>
        <v>0.3774851466022292</v>
      </c>
      <c r="O122" s="18">
        <f t="shared" si="24"/>
        <v>0.90630778703664994</v>
      </c>
      <c r="U122" s="17">
        <f t="shared" si="20"/>
        <v>0.17860619515673037</v>
      </c>
    </row>
    <row r="123" spans="9:21" x14ac:dyDescent="0.3">
      <c r="I123">
        <v>26</v>
      </c>
      <c r="J123" s="17">
        <f t="shared" si="21"/>
        <v>0.89879404629916704</v>
      </c>
      <c r="K123" s="19">
        <f t="shared" si="22"/>
        <v>5.1949212716019468E-4</v>
      </c>
      <c r="L123" s="20">
        <f t="shared" si="23"/>
        <v>1.6715030092600029E-6</v>
      </c>
      <c r="M123" s="31">
        <f t="shared" si="19"/>
        <v>0.34863814065616983</v>
      </c>
      <c r="O123" s="18">
        <f t="shared" si="24"/>
        <v>0.89879404629916704</v>
      </c>
      <c r="U123" s="17">
        <f t="shared" si="20"/>
        <v>0.1921692623371708</v>
      </c>
    </row>
    <row r="124" spans="9:21" x14ac:dyDescent="0.3">
      <c r="I124">
        <v>27</v>
      </c>
      <c r="J124" s="17">
        <f t="shared" si="21"/>
        <v>0.8910065241883679</v>
      </c>
      <c r="K124" s="19">
        <f t="shared" si="22"/>
        <v>2.8035854754709195E-4</v>
      </c>
      <c r="L124" s="20">
        <f t="shared" si="23"/>
        <v>5.6489178551367682E-7</v>
      </c>
      <c r="M124" s="31">
        <f t="shared" si="19"/>
        <v>0.32099332802504382</v>
      </c>
      <c r="O124" s="18">
        <f t="shared" si="24"/>
        <v>0.8910065241883679</v>
      </c>
      <c r="U124" s="17">
        <f t="shared" si="20"/>
        <v>0.20610737385376332</v>
      </c>
    </row>
    <row r="125" spans="9:21" x14ac:dyDescent="0.3">
      <c r="I125">
        <v>28</v>
      </c>
      <c r="J125" s="17">
        <f t="shared" si="21"/>
        <v>0.88294759285892699</v>
      </c>
      <c r="K125" s="19">
        <f t="shared" si="22"/>
        <v>1.4724369164435084E-4</v>
      </c>
      <c r="L125" s="20">
        <f t="shared" si="23"/>
        <v>1.8199003739831214E-7</v>
      </c>
      <c r="M125" s="31">
        <f t="shared" si="19"/>
        <v>0.29462065714200303</v>
      </c>
      <c r="O125" s="18">
        <f t="shared" si="24"/>
        <v>0.88294759285892699</v>
      </c>
      <c r="U125" s="17">
        <f t="shared" si="20"/>
        <v>0.22040354826462649</v>
      </c>
    </row>
    <row r="126" spans="9:21" x14ac:dyDescent="0.3">
      <c r="I126">
        <v>29</v>
      </c>
      <c r="J126" s="17">
        <f t="shared" si="21"/>
        <v>0.87461970713939574</v>
      </c>
      <c r="K126" s="19">
        <f t="shared" si="22"/>
        <v>7.5219598289675234E-5</v>
      </c>
      <c r="L126" s="20">
        <f t="shared" si="23"/>
        <v>5.5843569322098021E-8</v>
      </c>
      <c r="M126" s="31">
        <f t="shared" si="19"/>
        <v>0.26957304343619598</v>
      </c>
      <c r="O126" s="18">
        <f t="shared" si="24"/>
        <v>0.87461970713939574</v>
      </c>
      <c r="U126" s="17">
        <f t="shared" si="20"/>
        <v>0.23504036788339766</v>
      </c>
    </row>
    <row r="127" spans="9:21" x14ac:dyDescent="0.3">
      <c r="I127">
        <v>30</v>
      </c>
      <c r="J127" s="17">
        <f t="shared" si="21"/>
        <v>0.86602540378443871</v>
      </c>
      <c r="K127" s="19">
        <f t="shared" si="22"/>
        <v>3.7356530686863316E-5</v>
      </c>
      <c r="L127" s="20">
        <f t="shared" si="23"/>
        <v>1.6305609105049378E-8</v>
      </c>
      <c r="M127" s="31">
        <f t="shared" si="19"/>
        <v>0.2458871364479599</v>
      </c>
      <c r="O127" s="18">
        <f t="shared" si="24"/>
        <v>0.86602540378443871</v>
      </c>
      <c r="U127" s="17">
        <f t="shared" si="20"/>
        <v>0.24999999999999989</v>
      </c>
    </row>
    <row r="128" spans="9:21" x14ac:dyDescent="0.3">
      <c r="I128">
        <v>31</v>
      </c>
      <c r="J128" s="17">
        <f t="shared" si="21"/>
        <v>0.85716730070211233</v>
      </c>
      <c r="K128" s="19">
        <f t="shared" si="22"/>
        <v>1.8025972811456483E-5</v>
      </c>
      <c r="L128" s="20">
        <f t="shared" si="23"/>
        <v>4.5259424418392811E-9</v>
      </c>
      <c r="M128" s="31">
        <f t="shared" si="19"/>
        <v>0.22358426501737388</v>
      </c>
      <c r="O128" s="18">
        <f t="shared" si="24"/>
        <v>0.85716730070211233</v>
      </c>
      <c r="U128" s="17">
        <f t="shared" si="20"/>
        <v>0.26526421860705451</v>
      </c>
    </row>
    <row r="129" spans="9:21" x14ac:dyDescent="0.3">
      <c r="I129">
        <v>32</v>
      </c>
      <c r="J129" s="17">
        <f t="shared" si="21"/>
        <v>0.84804809615642596</v>
      </c>
      <c r="K129" s="19">
        <f t="shared" si="22"/>
        <v>8.4463237360723854E-6</v>
      </c>
      <c r="L129" s="20">
        <f t="shared" si="23"/>
        <v>1.1929773286762735E-9</v>
      </c>
      <c r="M129" s="31">
        <f t="shared" si="19"/>
        <v>0.20267152856820067</v>
      </c>
      <c r="O129" s="18">
        <f t="shared" si="24"/>
        <v>0.84804809615642596</v>
      </c>
      <c r="U129" s="17">
        <f t="shared" si="20"/>
        <v>0.2808144266054613</v>
      </c>
    </row>
    <row r="130" spans="9:21" x14ac:dyDescent="0.3">
      <c r="I130">
        <v>33</v>
      </c>
      <c r="J130" s="17">
        <f t="shared" si="21"/>
        <v>0.83867056794542405</v>
      </c>
      <c r="K130" s="19">
        <f t="shared" si="22"/>
        <v>3.8405864742792049E-6</v>
      </c>
      <c r="L130" s="20">
        <f t="shared" si="23"/>
        <v>2.9827786611866994E-10</v>
      </c>
      <c r="M130" s="31">
        <f t="shared" si="19"/>
        <v>0.18314300223195479</v>
      </c>
      <c r="O130" s="18">
        <f t="shared" si="24"/>
        <v>0.83867056794542405</v>
      </c>
      <c r="U130" s="17">
        <f t="shared" si="20"/>
        <v>0.29663167846209981</v>
      </c>
    </row>
    <row r="131" spans="9:21" x14ac:dyDescent="0.3">
      <c r="I131">
        <v>34</v>
      </c>
      <c r="J131" s="17">
        <f t="shared" si="21"/>
        <v>0.82903757255504162</v>
      </c>
      <c r="K131" s="19">
        <f t="shared" si="22"/>
        <v>1.6935378171519319E-6</v>
      </c>
      <c r="L131" s="20">
        <f t="shared" si="23"/>
        <v>7.0657730182680175E-11</v>
      </c>
      <c r="M131" s="31">
        <f t="shared" si="19"/>
        <v>0.16498102406912385</v>
      </c>
      <c r="O131" s="18">
        <f t="shared" si="24"/>
        <v>0.82903757255504162</v>
      </c>
      <c r="U131" s="17">
        <f t="shared" si="20"/>
        <v>0.31269670329204413</v>
      </c>
    </row>
    <row r="132" spans="9:21" x14ac:dyDescent="0.3">
      <c r="I132">
        <v>35</v>
      </c>
      <c r="J132" s="17">
        <f t="shared" si="21"/>
        <v>0.8191520442889918</v>
      </c>
      <c r="K132" s="19">
        <f t="shared" si="22"/>
        <v>7.2368250513669133E-7</v>
      </c>
      <c r="L132" s="20">
        <f t="shared" si="23"/>
        <v>1.5837984294629016E-11</v>
      </c>
      <c r="M132" s="31">
        <f t="shared" si="19"/>
        <v>0.14815753386242878</v>
      </c>
      <c r="O132" s="18">
        <f t="shared" si="24"/>
        <v>0.8191520442889918</v>
      </c>
      <c r="U132" s="17">
        <f t="shared" si="20"/>
        <v>0.32898992833716567</v>
      </c>
    </row>
    <row r="133" spans="9:21" x14ac:dyDescent="0.3">
      <c r="I133">
        <v>36</v>
      </c>
      <c r="J133" s="17">
        <f t="shared" si="21"/>
        <v>0.80901699437494745</v>
      </c>
      <c r="K133" s="19">
        <f t="shared" si="22"/>
        <v>2.9945094932764976E-7</v>
      </c>
      <c r="L133" s="20">
        <f t="shared" si="23"/>
        <v>3.3547398834223027E-12</v>
      </c>
      <c r="M133" s="31">
        <f t="shared" si="19"/>
        <v>0.13263543478318265</v>
      </c>
      <c r="O133" s="18">
        <f t="shared" si="24"/>
        <v>0.80901699437494745</v>
      </c>
      <c r="U133" s="17">
        <f t="shared" si="20"/>
        <v>0.34549150281252627</v>
      </c>
    </row>
    <row r="134" spans="9:21" x14ac:dyDescent="0.3">
      <c r="I134">
        <v>37</v>
      </c>
      <c r="J134" s="17">
        <f t="shared" si="21"/>
        <v>0.79863551004729283</v>
      </c>
      <c r="K134" s="19">
        <f t="shared" si="22"/>
        <v>1.1988789210395961E-7</v>
      </c>
      <c r="L134" s="20">
        <f t="shared" si="23"/>
        <v>6.7052754355736655E-13</v>
      </c>
      <c r="M134" s="31">
        <f t="shared" si="19"/>
        <v>0.11836995156012713</v>
      </c>
      <c r="O134" s="18">
        <f t="shared" si="24"/>
        <v>0.79863551004729283</v>
      </c>
      <c r="U134" s="17">
        <f t="shared" si="20"/>
        <v>0.36218132209150045</v>
      </c>
    </row>
    <row r="135" spans="9:21" x14ac:dyDescent="0.3">
      <c r="I135">
        <v>38</v>
      </c>
      <c r="J135" s="17">
        <f t="shared" ref="J135:J166" si="25">$O135^$B$15</f>
        <v>0.78801075360672201</v>
      </c>
      <c r="K135" s="19">
        <f t="shared" ref="K135:K166" si="26">$O135^D$15</f>
        <v>4.6400424502856311E-8</v>
      </c>
      <c r="L135" s="20">
        <f t="shared" ref="L135:L166" si="27">$O135^E$15</f>
        <v>1.2627390806554362E-13</v>
      </c>
      <c r="M135" s="31">
        <f t="shared" si="19"/>
        <v>0.10530996149983259</v>
      </c>
      <c r="O135" s="18">
        <f t="shared" ref="O135:O166" si="28">COS(I135*PI()/180)</f>
        <v>0.78801075360672201</v>
      </c>
      <c r="U135" s="17">
        <f t="shared" si="20"/>
        <v>0.37903905220016609</v>
      </c>
    </row>
    <row r="136" spans="9:21" x14ac:dyDescent="0.3">
      <c r="I136">
        <v>39</v>
      </c>
      <c r="J136" s="17">
        <f t="shared" si="25"/>
        <v>0.7771459614569709</v>
      </c>
      <c r="K136" s="19">
        <f t="shared" si="26"/>
        <v>1.7344681535928216E-8</v>
      </c>
      <c r="L136" s="20">
        <f t="shared" si="27"/>
        <v>2.236905383264906E-14</v>
      </c>
      <c r="M136" s="31">
        <f t="shared" ref="M136:M187" si="29">EXP(-0.5*(I136^2)/(F$19^2))</f>
        <v>9.3399277707508707E-2</v>
      </c>
      <c r="O136" s="18">
        <f t="shared" si="28"/>
        <v>0.7771459614569709</v>
      </c>
      <c r="U136" s="17">
        <f t="shared" si="20"/>
        <v>0.3960441545911203</v>
      </c>
    </row>
    <row r="137" spans="9:21" x14ac:dyDescent="0.3">
      <c r="I137">
        <v>40</v>
      </c>
      <c r="J137" s="17">
        <f t="shared" si="25"/>
        <v>0.76604444311897801</v>
      </c>
      <c r="K137" s="19">
        <f t="shared" si="26"/>
        <v>6.2558038685430222E-9</v>
      </c>
      <c r="L137" s="20">
        <f t="shared" si="27"/>
        <v>3.7210927841818157E-15</v>
      </c>
      <c r="M137" s="31">
        <f t="shared" si="29"/>
        <v>8.2577867028647695E-2</v>
      </c>
      <c r="O137" s="18">
        <f t="shared" si="28"/>
        <v>0.76604444311897801</v>
      </c>
      <c r="U137" s="17">
        <f t="shared" si="20"/>
        <v>0.41317591116653485</v>
      </c>
    </row>
    <row r="138" spans="9:21" x14ac:dyDescent="0.3">
      <c r="I138">
        <v>41</v>
      </c>
      <c r="J138" s="17">
        <f t="shared" si="25"/>
        <v>0.75470958022277213</v>
      </c>
      <c r="K138" s="19">
        <f t="shared" si="26"/>
        <v>2.1747979039233984E-9</v>
      </c>
      <c r="L138" s="20">
        <f t="shared" si="27"/>
        <v>5.8020938180960859E-16</v>
      </c>
      <c r="M138" s="31">
        <f t="shared" si="29"/>
        <v>7.2782988473336752E-2</v>
      </c>
      <c r="O138" s="18">
        <f t="shared" si="28"/>
        <v>0.75470958022277213</v>
      </c>
      <c r="U138" s="17">
        <f t="shared" si="20"/>
        <v>0.43041344951996707</v>
      </c>
    </row>
    <row r="139" spans="9:21" x14ac:dyDescent="0.3">
      <c r="I139">
        <v>42</v>
      </c>
      <c r="J139" s="17">
        <f t="shared" si="25"/>
        <v>0.74314482547739424</v>
      </c>
      <c r="K139" s="19">
        <f t="shared" si="26"/>
        <v>7.2793048550301895E-10</v>
      </c>
      <c r="L139" s="20">
        <f t="shared" si="27"/>
        <v>8.463294859980243E-17</v>
      </c>
      <c r="M139" s="31">
        <f t="shared" si="29"/>
        <v>6.3950241103259434E-2</v>
      </c>
      <c r="O139" s="18">
        <f t="shared" si="28"/>
        <v>0.74314482547739424</v>
      </c>
      <c r="U139" s="17">
        <f t="shared" si="20"/>
        <v>0.44773576836617324</v>
      </c>
    </row>
    <row r="140" spans="9:21" x14ac:dyDescent="0.3">
      <c r="I140">
        <v>43</v>
      </c>
      <c r="J140" s="17">
        <f t="shared" si="25"/>
        <v>0.73135370161917057</v>
      </c>
      <c r="K140" s="19">
        <f t="shared" si="26"/>
        <v>2.3430391966216697E-10</v>
      </c>
      <c r="L140" s="20">
        <f t="shared" si="27"/>
        <v>1.1524605796018681E-17</v>
      </c>
      <c r="M140" s="31">
        <f t="shared" si="29"/>
        <v>5.6014513474192264E-2</v>
      </c>
      <c r="O140" s="18">
        <f t="shared" si="28"/>
        <v>0.73135370161917057</v>
      </c>
      <c r="U140" s="17">
        <f t="shared" si="20"/>
        <v>0.46512176312793718</v>
      </c>
    </row>
    <row r="141" spans="9:21" x14ac:dyDescent="0.3">
      <c r="I141">
        <v>44</v>
      </c>
      <c r="J141" s="17">
        <f t="shared" si="25"/>
        <v>0.71933980033865119</v>
      </c>
      <c r="K141" s="19">
        <f t="shared" si="26"/>
        <v>7.2432873549647532E-11</v>
      </c>
      <c r="L141" s="20">
        <f t="shared" si="27"/>
        <v>1.4617511399928278E-18</v>
      </c>
      <c r="M141" s="31">
        <f t="shared" si="29"/>
        <v>4.891082966439983E-2</v>
      </c>
      <c r="O141" s="18">
        <f t="shared" si="28"/>
        <v>0.71933980033865119</v>
      </c>
      <c r="U141" s="17">
        <f t="shared" si="20"/>
        <v>0.48255025164874943</v>
      </c>
    </row>
    <row r="142" spans="9:21" x14ac:dyDescent="0.3">
      <c r="I142">
        <v>45</v>
      </c>
      <c r="J142" s="17">
        <f t="shared" si="25"/>
        <v>0.70710678118654757</v>
      </c>
      <c r="K142" s="19">
        <f t="shared" si="26"/>
        <v>2.1476705522810528E-11</v>
      </c>
      <c r="L142" s="20">
        <f t="shared" si="27"/>
        <v>1.7228304540273035E-19</v>
      </c>
      <c r="M142" s="31">
        <f t="shared" si="29"/>
        <v>4.2575089625102466E-2</v>
      </c>
      <c r="O142" s="18">
        <f t="shared" si="28"/>
        <v>0.70710678118654757</v>
      </c>
      <c r="U142" s="17">
        <f t="shared" si="20"/>
        <v>0.49999999999999989</v>
      </c>
    </row>
    <row r="143" spans="9:21" x14ac:dyDescent="0.3">
      <c r="I143">
        <v>46</v>
      </c>
      <c r="J143" s="17">
        <f t="shared" si="25"/>
        <v>0.69465837045899737</v>
      </c>
      <c r="K143" s="19">
        <f t="shared" si="26"/>
        <v>6.0987759338418334E-12</v>
      </c>
      <c r="L143" s="20">
        <f t="shared" si="27"/>
        <v>1.8820038230161089E-20</v>
      </c>
      <c r="M143" s="31">
        <f t="shared" si="29"/>
        <v>3.6944704019972761E-2</v>
      </c>
      <c r="O143" s="18">
        <f t="shared" si="28"/>
        <v>0.69465837045899737</v>
      </c>
      <c r="U143" s="17">
        <f t="shared" si="20"/>
        <v>0.51744974835125035</v>
      </c>
    </row>
    <row r="144" spans="9:21" x14ac:dyDescent="0.3">
      <c r="I144">
        <v>47</v>
      </c>
      <c r="J144" s="17">
        <f t="shared" si="25"/>
        <v>0.68199836006249848</v>
      </c>
      <c r="K144" s="19">
        <f t="shared" si="26"/>
        <v>1.6560836445449307E-12</v>
      </c>
      <c r="L144" s="20">
        <f t="shared" si="27"/>
        <v>1.9002639904373441E-21</v>
      </c>
      <c r="M144" s="31">
        <f t="shared" si="29"/>
        <v>3.1959125846458332E-2</v>
      </c>
      <c r="O144" s="18">
        <f t="shared" si="28"/>
        <v>0.68199836006249848</v>
      </c>
      <c r="U144" s="17">
        <f t="shared" si="20"/>
        <v>0.53487823687206271</v>
      </c>
    </row>
    <row r="145" spans="9:21" x14ac:dyDescent="0.3">
      <c r="I145">
        <v>48</v>
      </c>
      <c r="J145" s="17">
        <f t="shared" si="25"/>
        <v>0.66913060635885824</v>
      </c>
      <c r="K145" s="19">
        <f t="shared" si="26"/>
        <v>4.2929707888527282E-13</v>
      </c>
      <c r="L145" s="20">
        <f t="shared" si="27"/>
        <v>1.7682412217270303E-22</v>
      </c>
      <c r="M145" s="31">
        <f t="shared" si="29"/>
        <v>2.7560282935249758E-2</v>
      </c>
      <c r="O145" s="18">
        <f t="shared" si="28"/>
        <v>0.66913060635885824</v>
      </c>
      <c r="U145" s="17">
        <f t="shared" si="20"/>
        <v>0.55226423163382665</v>
      </c>
    </row>
    <row r="146" spans="9:21" x14ac:dyDescent="0.3">
      <c r="I146">
        <v>49</v>
      </c>
      <c r="J146" s="17">
        <f t="shared" si="25"/>
        <v>0.65605902899050728</v>
      </c>
      <c r="K146" s="19">
        <f t="shared" si="26"/>
        <v>1.0604407868919944E-13</v>
      </c>
      <c r="L146" s="20">
        <f t="shared" si="27"/>
        <v>1.5115606462953339E-23</v>
      </c>
      <c r="M146" s="31">
        <f t="shared" si="29"/>
        <v>2.3692916899578035E-2</v>
      </c>
      <c r="O146" s="18">
        <f t="shared" si="28"/>
        <v>0.65605902899050728</v>
      </c>
      <c r="U146" s="17">
        <f t="shared" si="20"/>
        <v>0.56958655048003282</v>
      </c>
    </row>
    <row r="147" spans="9:21" x14ac:dyDescent="0.3">
      <c r="I147">
        <v>50</v>
      </c>
      <c r="J147" s="17">
        <f t="shared" si="25"/>
        <v>0.64278760968653936</v>
      </c>
      <c r="K147" s="19">
        <f t="shared" si="26"/>
        <v>2.4912906858788226E-14</v>
      </c>
      <c r="L147" s="20">
        <f t="shared" si="27"/>
        <v>1.1829947458059491E-24</v>
      </c>
      <c r="M147" s="31">
        <f t="shared" si="29"/>
        <v>2.0304835257654582E-2</v>
      </c>
      <c r="O147" s="18">
        <f t="shared" si="28"/>
        <v>0.64278760968653936</v>
      </c>
      <c r="U147" s="17">
        <f t="shared" si="20"/>
        <v>0.58682408883346515</v>
      </c>
    </row>
    <row r="148" spans="9:21" x14ac:dyDescent="0.3">
      <c r="I148">
        <v>51</v>
      </c>
      <c r="J148" s="17">
        <f t="shared" si="25"/>
        <v>0.6293203910498375</v>
      </c>
      <c r="K148" s="19">
        <f t="shared" si="26"/>
        <v>5.5547235495362182E-15</v>
      </c>
      <c r="L148" s="20">
        <f t="shared" si="27"/>
        <v>8.4452723288913024E-26</v>
      </c>
      <c r="M148" s="31">
        <f t="shared" si="29"/>
        <v>1.734708429265823E-2</v>
      </c>
      <c r="O148" s="18">
        <f t="shared" si="28"/>
        <v>0.6293203910498375</v>
      </c>
      <c r="U148" s="17">
        <f t="shared" si="20"/>
        <v>0.60395584540887959</v>
      </c>
    </row>
    <row r="149" spans="9:21" x14ac:dyDescent="0.3">
      <c r="I149">
        <v>52</v>
      </c>
      <c r="J149" s="17">
        <f t="shared" si="25"/>
        <v>0.61566147532565829</v>
      </c>
      <c r="K149" s="19">
        <f t="shared" si="26"/>
        <v>1.172784576672525E-15</v>
      </c>
      <c r="L149" s="20">
        <f t="shared" si="27"/>
        <v>5.4776002745163742E-27</v>
      </c>
      <c r="M149" s="31">
        <f t="shared" si="29"/>
        <v>1.4774050765611954E-2</v>
      </c>
      <c r="O149" s="18">
        <f t="shared" si="28"/>
        <v>0.61566147532565829</v>
      </c>
      <c r="U149" s="17">
        <f t="shared" si="20"/>
        <v>0.62096094779983391</v>
      </c>
    </row>
    <row r="150" spans="9:21" x14ac:dyDescent="0.3">
      <c r="I150">
        <v>53</v>
      </c>
      <c r="J150" s="17">
        <f t="shared" si="25"/>
        <v>0.60181502315204838</v>
      </c>
      <c r="K150" s="19">
        <f t="shared" si="26"/>
        <v>2.3389928393251342E-16</v>
      </c>
      <c r="L150" s="20">
        <f t="shared" si="27"/>
        <v>3.2139812429000242E-28</v>
      </c>
      <c r="M150" s="31">
        <f t="shared" si="29"/>
        <v>1.2543500883227357E-2</v>
      </c>
      <c r="O150" s="18">
        <f t="shared" si="28"/>
        <v>0.60181502315204838</v>
      </c>
      <c r="U150" s="17">
        <f t="shared" si="20"/>
        <v>0.63781867790849955</v>
      </c>
    </row>
    <row r="151" spans="9:21" x14ac:dyDescent="0.3">
      <c r="I151">
        <v>54</v>
      </c>
      <c r="J151" s="17">
        <f t="shared" si="25"/>
        <v>0.58778525229247314</v>
      </c>
      <c r="K151" s="19">
        <f t="shared" si="26"/>
        <v>4.3948306122125396E-17</v>
      </c>
      <c r="L151" s="20">
        <f t="shared" si="27"/>
        <v>1.6980325073974134E-29</v>
      </c>
      <c r="M151" s="31">
        <f t="shared" si="29"/>
        <v>1.0616564975249643E-2</v>
      </c>
      <c r="O151" s="18">
        <f t="shared" si="28"/>
        <v>0.58778525229247314</v>
      </c>
      <c r="U151" s="17">
        <f t="shared" si="20"/>
        <v>0.65450849718747373</v>
      </c>
    </row>
    <row r="152" spans="9:21" x14ac:dyDescent="0.3">
      <c r="I152">
        <v>55</v>
      </c>
      <c r="J152" s="17">
        <f t="shared" si="25"/>
        <v>0.57357643635104616</v>
      </c>
      <c r="K152" s="19">
        <f t="shared" si="26"/>
        <v>7.7572252501993409E-18</v>
      </c>
      <c r="L152" s="20">
        <f t="shared" si="27"/>
        <v>8.0370548362899432E-31</v>
      </c>
      <c r="M152" s="31">
        <f t="shared" si="29"/>
        <v>8.9576761863939397E-3</v>
      </c>
      <c r="O152" s="18">
        <f t="shared" si="28"/>
        <v>0.57357643635104616</v>
      </c>
      <c r="U152" s="17">
        <f t="shared" si="20"/>
        <v>0.67101007166283422</v>
      </c>
    </row>
    <row r="153" spans="9:21" x14ac:dyDescent="0.3">
      <c r="I153">
        <v>56</v>
      </c>
      <c r="J153" s="17">
        <f t="shared" si="25"/>
        <v>0.55919290347074679</v>
      </c>
      <c r="K153" s="19">
        <f t="shared" si="26"/>
        <v>1.2822104113234797E-18</v>
      </c>
      <c r="L153" s="20">
        <f t="shared" si="27"/>
        <v>3.3892209064964889E-32</v>
      </c>
      <c r="M153" s="31">
        <f t="shared" si="29"/>
        <v>7.534471170099994E-3</v>
      </c>
      <c r="O153" s="18">
        <f t="shared" si="28"/>
        <v>0.55919290347074679</v>
      </c>
      <c r="U153" s="17">
        <f t="shared" si="20"/>
        <v>0.68730329670795598</v>
      </c>
    </row>
    <row r="154" spans="9:21" x14ac:dyDescent="0.3">
      <c r="I154">
        <v>57</v>
      </c>
      <c r="J154" s="17">
        <f t="shared" si="25"/>
        <v>0.5446390350150272</v>
      </c>
      <c r="K154" s="19">
        <f t="shared" si="26"/>
        <v>1.9779463464769173E-19</v>
      </c>
      <c r="L154" s="20">
        <f t="shared" si="27"/>
        <v>1.2657285468255284E-33</v>
      </c>
      <c r="M154" s="31">
        <f t="shared" si="29"/>
        <v>6.3176603183892309E-3</v>
      </c>
      <c r="O154" s="18">
        <f t="shared" si="28"/>
        <v>0.5446390350150272</v>
      </c>
      <c r="U154" s="17">
        <f t="shared" si="20"/>
        <v>0.70336832153789997</v>
      </c>
    </row>
    <row r="155" spans="9:21" x14ac:dyDescent="0.3">
      <c r="I155">
        <v>58</v>
      </c>
      <c r="J155" s="17">
        <f t="shared" si="25"/>
        <v>0.5299192642332049</v>
      </c>
      <c r="K155" s="19">
        <f t="shared" si="26"/>
        <v>2.8369166203881151E-20</v>
      </c>
      <c r="L155" s="20">
        <f t="shared" si="27"/>
        <v>4.1587235576681689E-35</v>
      </c>
      <c r="M155" s="31">
        <f t="shared" si="29"/>
        <v>5.2808745062749157E-3</v>
      </c>
      <c r="O155" s="18">
        <f t="shared" si="28"/>
        <v>0.5299192642332049</v>
      </c>
      <c r="U155" s="17">
        <f t="shared" si="20"/>
        <v>0.7191855733945387</v>
      </c>
    </row>
    <row r="156" spans="9:21" x14ac:dyDescent="0.3">
      <c r="I156">
        <v>59</v>
      </c>
      <c r="J156" s="17">
        <f t="shared" si="25"/>
        <v>0.51503807491005438</v>
      </c>
      <c r="K156" s="19">
        <f t="shared" si="26"/>
        <v>3.7676739327806769E-21</v>
      </c>
      <c r="L156" s="20">
        <f t="shared" si="27"/>
        <v>1.1935034199889551E-36</v>
      </c>
      <c r="M156" s="31">
        <f t="shared" si="29"/>
        <v>4.4004947006446157E-3</v>
      </c>
      <c r="O156" s="18">
        <f t="shared" si="28"/>
        <v>0.51503807491005438</v>
      </c>
      <c r="U156" s="17">
        <f t="shared" si="20"/>
        <v>0.73473578139294515</v>
      </c>
    </row>
    <row r="157" spans="9:21" x14ac:dyDescent="0.3">
      <c r="I157">
        <v>60</v>
      </c>
      <c r="J157" s="17">
        <f t="shared" si="25"/>
        <v>0.50000000000000011</v>
      </c>
      <c r="K157" s="19">
        <f t="shared" si="26"/>
        <v>4.6124888011352357E-22</v>
      </c>
      <c r="L157" s="20">
        <f t="shared" si="27"/>
        <v>2.9681447733239668E-38</v>
      </c>
      <c r="M157" s="31">
        <f t="shared" si="29"/>
        <v>3.6554701098643798E-3</v>
      </c>
      <c r="O157" s="18">
        <f t="shared" si="28"/>
        <v>0.50000000000000011</v>
      </c>
      <c r="U157" s="17">
        <f t="shared" si="20"/>
        <v>0.74999999999999989</v>
      </c>
    </row>
    <row r="158" spans="9:21" x14ac:dyDescent="0.3">
      <c r="I158">
        <v>61</v>
      </c>
      <c r="J158" s="17">
        <f t="shared" si="25"/>
        <v>0.48480962024633711</v>
      </c>
      <c r="K158" s="19">
        <f t="shared" si="26"/>
        <v>5.1793115795918545E-23</v>
      </c>
      <c r="L158" s="20">
        <f t="shared" si="27"/>
        <v>6.3408006790913133E-40</v>
      </c>
      <c r="M158" s="31">
        <f t="shared" si="29"/>
        <v>3.0271298560238073E-3</v>
      </c>
      <c r="O158" s="18">
        <f t="shared" si="28"/>
        <v>0.48480962024633711</v>
      </c>
      <c r="U158" s="17">
        <f t="shared" si="20"/>
        <v>0.76495963211660234</v>
      </c>
    </row>
    <row r="159" spans="9:21" x14ac:dyDescent="0.3">
      <c r="I159">
        <v>62</v>
      </c>
      <c r="J159" s="17">
        <f t="shared" si="25"/>
        <v>0.46947156278589086</v>
      </c>
      <c r="K159" s="19">
        <f t="shared" si="26"/>
        <v>5.3050994094741039E-24</v>
      </c>
      <c r="L159" s="20">
        <f t="shared" si="27"/>
        <v>1.1523838092172551E-41</v>
      </c>
      <c r="M159" s="31">
        <f t="shared" si="29"/>
        <v>2.4989924578705035E-3</v>
      </c>
      <c r="O159" s="18">
        <f t="shared" si="28"/>
        <v>0.46947156278589086</v>
      </c>
      <c r="U159" s="17">
        <f t="shared" si="20"/>
        <v>0.77959645173537329</v>
      </c>
    </row>
    <row r="160" spans="9:21" x14ac:dyDescent="0.3">
      <c r="I160">
        <v>63</v>
      </c>
      <c r="J160" s="17">
        <f t="shared" si="25"/>
        <v>0.4539904997395468</v>
      </c>
      <c r="K160" s="19">
        <f t="shared" si="26"/>
        <v>4.9265990366534905E-25</v>
      </c>
      <c r="L160" s="20">
        <f t="shared" si="27"/>
        <v>1.7627010882777077E-43</v>
      </c>
      <c r="M160" s="31">
        <f t="shared" si="29"/>
        <v>2.0565767367218338E-3</v>
      </c>
      <c r="O160" s="18">
        <f t="shared" si="28"/>
        <v>0.4539904997395468</v>
      </c>
      <c r="U160" s="17">
        <f t="shared" si="20"/>
        <v>0.79389262614623657</v>
      </c>
    </row>
    <row r="161" spans="9:21" x14ac:dyDescent="0.3">
      <c r="I161">
        <v>64</v>
      </c>
      <c r="J161" s="17">
        <f t="shared" si="25"/>
        <v>0.43837114678907746</v>
      </c>
      <c r="K161" s="19">
        <f t="shared" si="26"/>
        <v>4.1198206324568006E-26</v>
      </c>
      <c r="L161" s="20">
        <f t="shared" si="27"/>
        <v>2.2422887554229278E-45</v>
      </c>
      <c r="M161" s="31">
        <f t="shared" si="29"/>
        <v>1.6872171141920865E-3</v>
      </c>
      <c r="O161" s="18">
        <f t="shared" si="28"/>
        <v>0.43837114678907746</v>
      </c>
      <c r="U161" s="17">
        <f t="shared" si="20"/>
        <v>0.80783073766282909</v>
      </c>
    </row>
    <row r="162" spans="9:21" x14ac:dyDescent="0.3">
      <c r="I162">
        <v>65</v>
      </c>
      <c r="J162" s="17">
        <f t="shared" si="25"/>
        <v>0.42261826174069944</v>
      </c>
      <c r="K162" s="19">
        <f t="shared" si="26"/>
        <v>3.0788065817813101E-27</v>
      </c>
      <c r="L162" s="20">
        <f t="shared" si="27"/>
        <v>2.3405812827900343E-47</v>
      </c>
      <c r="M162" s="31">
        <f t="shared" si="29"/>
        <v>1.379885670322223E-3</v>
      </c>
      <c r="O162" s="18">
        <f t="shared" si="28"/>
        <v>0.42261826174069944</v>
      </c>
      <c r="U162" s="17">
        <f t="shared" ref="U162:U187" si="30">1-$O162^($B$15+1)</f>
        <v>0.82139380484326963</v>
      </c>
    </row>
    <row r="163" spans="9:21" x14ac:dyDescent="0.3">
      <c r="I163">
        <v>66</v>
      </c>
      <c r="J163" s="17">
        <f t="shared" si="25"/>
        <v>0.40673664307580021</v>
      </c>
      <c r="K163" s="19">
        <f t="shared" si="26"/>
        <v>2.0386773714315746E-28</v>
      </c>
      <c r="L163" s="20">
        <f t="shared" si="27"/>
        <v>1.9749132771531248E-49</v>
      </c>
      <c r="M163" s="31">
        <f t="shared" si="29"/>
        <v>1.1250227814466923E-3</v>
      </c>
      <c r="O163" s="18">
        <f t="shared" si="28"/>
        <v>0.40673664307580021</v>
      </c>
      <c r="U163" s="17">
        <f t="shared" si="30"/>
        <v>0.83456530317942912</v>
      </c>
    </row>
    <row r="164" spans="9:21" x14ac:dyDescent="0.3">
      <c r="I164">
        <v>67</v>
      </c>
      <c r="J164" s="17">
        <f t="shared" si="25"/>
        <v>0.39073112848927394</v>
      </c>
      <c r="K164" s="19">
        <f t="shared" si="26"/>
        <v>1.1846492814285038E-29</v>
      </c>
      <c r="L164" s="20">
        <f t="shared" si="27"/>
        <v>1.3243426807386766E-51</v>
      </c>
      <c r="M164" s="31">
        <f t="shared" si="29"/>
        <v>9.1437766388058946E-4</v>
      </c>
      <c r="O164" s="18">
        <f t="shared" si="28"/>
        <v>0.39073112848927394</v>
      </c>
      <c r="U164" s="17">
        <f t="shared" si="30"/>
        <v>0.84732918522949852</v>
      </c>
    </row>
    <row r="165" spans="9:21" x14ac:dyDescent="0.3">
      <c r="I165">
        <v>68</v>
      </c>
      <c r="J165" s="17">
        <f t="shared" si="25"/>
        <v>0.37460659341591196</v>
      </c>
      <c r="K165" s="19">
        <f t="shared" si="26"/>
        <v>5.9752919472960749E-31</v>
      </c>
      <c r="L165" s="20">
        <f t="shared" si="27"/>
        <v>6.9235861881334217E-54</v>
      </c>
      <c r="M165" s="31">
        <f t="shared" si="29"/>
        <v>7.4085971480158247E-4</v>
      </c>
      <c r="O165" s="18">
        <f t="shared" si="28"/>
        <v>0.37460659341591196</v>
      </c>
      <c r="U165" s="17">
        <f t="shared" si="30"/>
        <v>0.85966990016932565</v>
      </c>
    </row>
    <row r="166" spans="9:21" x14ac:dyDescent="0.3">
      <c r="I166">
        <v>69</v>
      </c>
      <c r="J166" s="17">
        <f t="shared" si="25"/>
        <v>0.35836794954530038</v>
      </c>
      <c r="K166" s="19">
        <f t="shared" si="26"/>
        <v>2.5837158273306758E-32</v>
      </c>
      <c r="L166" s="20">
        <f t="shared" si="27"/>
        <v>2.7607151118846679E-56</v>
      </c>
      <c r="M166" s="31">
        <f t="shared" si="29"/>
        <v>5.9840116597345073E-4</v>
      </c>
      <c r="O166" s="18">
        <f t="shared" si="28"/>
        <v>0.35836794954530038</v>
      </c>
      <c r="U166" s="17">
        <f t="shared" si="30"/>
        <v>0.87157241273869701</v>
      </c>
    </row>
    <row r="167" spans="9:21" x14ac:dyDescent="0.3">
      <c r="I167">
        <v>70</v>
      </c>
      <c r="J167" s="17">
        <f t="shared" ref="J167:J187" si="31">$O167^$B$15</f>
        <v>0.34202014332566882</v>
      </c>
      <c r="K167" s="19">
        <f t="shared" ref="K167:K187" si="32">$O167^D$15</f>
        <v>9.4414908712928083E-34</v>
      </c>
      <c r="L167" s="20">
        <f t="shared" ref="L167:L187" si="33">$O167^E$15</f>
        <v>8.187590936023208E-59</v>
      </c>
      <c r="M167" s="31">
        <f t="shared" si="29"/>
        <v>4.8183124791345203E-4</v>
      </c>
      <c r="O167" s="18">
        <f t="shared" ref="O167:O187" si="34">COS(I167*PI()/180)</f>
        <v>0.34202014332566882</v>
      </c>
      <c r="U167" s="17">
        <f t="shared" si="30"/>
        <v>0.88302222155948895</v>
      </c>
    </row>
    <row r="168" spans="9:21" x14ac:dyDescent="0.3">
      <c r="I168">
        <v>71</v>
      </c>
      <c r="J168" s="17">
        <f t="shared" si="31"/>
        <v>0.32556815445715676</v>
      </c>
      <c r="K168" s="19">
        <f t="shared" si="32"/>
        <v>2.8680270855202653E-35</v>
      </c>
      <c r="L168" s="20">
        <f t="shared" si="33"/>
        <v>1.7544267311665377E-61</v>
      </c>
      <c r="M168" s="31">
        <f t="shared" si="29"/>
        <v>3.867617990672103E-4</v>
      </c>
      <c r="O168" s="18">
        <f t="shared" si="34"/>
        <v>0.32556815445715676</v>
      </c>
      <c r="U168" s="17">
        <f t="shared" si="30"/>
        <v>0.8940053768033609</v>
      </c>
    </row>
    <row r="169" spans="9:21" x14ac:dyDescent="0.3">
      <c r="I169">
        <v>72</v>
      </c>
      <c r="J169" s="17">
        <f t="shared" si="31"/>
        <v>0.30901699437494745</v>
      </c>
      <c r="K169" s="19">
        <f t="shared" si="32"/>
        <v>7.1046870909461545E-37</v>
      </c>
      <c r="L169" s="20">
        <f t="shared" si="33"/>
        <v>2.6261002943759002E-64</v>
      </c>
      <c r="M169" s="31">
        <f t="shared" si="29"/>
        <v>3.0948404280454068E-4</v>
      </c>
      <c r="O169" s="18">
        <f t="shared" si="34"/>
        <v>0.30901699437494745</v>
      </c>
      <c r="U169" s="17">
        <f t="shared" si="30"/>
        <v>0.90450849718747373</v>
      </c>
    </row>
    <row r="170" spans="9:21" x14ac:dyDescent="0.3">
      <c r="I170">
        <v>73</v>
      </c>
      <c r="J170" s="17">
        <f t="shared" si="31"/>
        <v>0.29237170472273677</v>
      </c>
      <c r="K170" s="19">
        <f t="shared" si="32"/>
        <v>1.4033535227315424E-38</v>
      </c>
      <c r="L170" s="20">
        <f t="shared" si="33"/>
        <v>2.6394908526631181E-67</v>
      </c>
      <c r="M170" s="31">
        <f t="shared" si="29"/>
        <v>2.468760901393659E-4</v>
      </c>
      <c r="O170" s="18">
        <f t="shared" si="34"/>
        <v>0.29237170472273677</v>
      </c>
      <c r="U170" s="17">
        <f t="shared" si="30"/>
        <v>0.91451878627752081</v>
      </c>
    </row>
    <row r="171" spans="9:21" x14ac:dyDescent="0.3">
      <c r="I171">
        <v>74</v>
      </c>
      <c r="J171" s="17">
        <f t="shared" si="31"/>
        <v>0.27563735581699916</v>
      </c>
      <c r="K171" s="19">
        <f t="shared" si="32"/>
        <v>2.1523505442775582E-40</v>
      </c>
      <c r="L171" s="20">
        <f t="shared" si="33"/>
        <v>1.7000835012036446E-70</v>
      </c>
      <c r="M171" s="31">
        <f t="shared" si="29"/>
        <v>1.9632060310363321E-4</v>
      </c>
      <c r="O171" s="18">
        <f t="shared" si="34"/>
        <v>0.27563735581699916</v>
      </c>
      <c r="U171" s="17">
        <f t="shared" si="30"/>
        <v>0.92402404807821303</v>
      </c>
    </row>
    <row r="172" spans="9:21" x14ac:dyDescent="0.3">
      <c r="I172">
        <v>75</v>
      </c>
      <c r="J172" s="17">
        <f t="shared" si="31"/>
        <v>0.25881904510252074</v>
      </c>
      <c r="K172" s="19">
        <f t="shared" si="32"/>
        <v>2.4831821166632991E-42</v>
      </c>
      <c r="L172" s="20">
        <f t="shared" si="33"/>
        <v>6.6364309876088628E-74</v>
      </c>
      <c r="M172" s="31">
        <f t="shared" si="29"/>
        <v>1.5563196754935903E-4</v>
      </c>
      <c r="O172" s="18">
        <f t="shared" si="34"/>
        <v>0.25881904510252074</v>
      </c>
      <c r="U172" s="17">
        <f t="shared" si="30"/>
        <v>0.9330127018922193</v>
      </c>
    </row>
    <row r="173" spans="9:21" x14ac:dyDescent="0.3">
      <c r="I173">
        <v>76</v>
      </c>
      <c r="J173" s="17">
        <f t="shared" si="31"/>
        <v>0.2419218955996679</v>
      </c>
      <c r="K173" s="19">
        <f t="shared" si="32"/>
        <v>2.074072704508442E-44</v>
      </c>
      <c r="L173" s="20">
        <f t="shared" si="33"/>
        <v>1.4677880576804288E-77</v>
      </c>
      <c r="M173" s="31">
        <f t="shared" si="29"/>
        <v>1.2299226967785485E-4</v>
      </c>
      <c r="O173" s="18">
        <f t="shared" si="34"/>
        <v>0.2419218955996679</v>
      </c>
      <c r="U173" s="17">
        <f t="shared" si="30"/>
        <v>0.94147379642946338</v>
      </c>
    </row>
    <row r="174" spans="9:21" x14ac:dyDescent="0.3">
      <c r="I174">
        <v>77</v>
      </c>
      <c r="J174" s="17">
        <f t="shared" si="31"/>
        <v>0.22495105434386492</v>
      </c>
      <c r="K174" s="19">
        <f t="shared" si="32"/>
        <v>1.1968122081335141E-46</v>
      </c>
      <c r="L174" s="20">
        <f t="shared" si="33"/>
        <v>1.6939201887924759E-81</v>
      </c>
      <c r="M174" s="31">
        <f t="shared" si="29"/>
        <v>9.6895342807194591E-5</v>
      </c>
      <c r="O174" s="18">
        <f t="shared" si="34"/>
        <v>0.22495105434386492</v>
      </c>
      <c r="U174" s="17">
        <f t="shared" si="30"/>
        <v>0.94939702314958352</v>
      </c>
    </row>
    <row r="175" spans="9:21" x14ac:dyDescent="0.3">
      <c r="I175">
        <v>78</v>
      </c>
      <c r="J175" s="17">
        <f t="shared" si="31"/>
        <v>0.20791169081775945</v>
      </c>
      <c r="K175" s="19">
        <f t="shared" si="32"/>
        <v>4.5018432797075267E-49</v>
      </c>
      <c r="L175" s="20">
        <f t="shared" si="33"/>
        <v>9.2099424537771288E-86</v>
      </c>
      <c r="M175" s="31">
        <f t="shared" si="29"/>
        <v>7.60981450615463E-5</v>
      </c>
      <c r="O175" s="18">
        <f t="shared" si="34"/>
        <v>0.20791169081775945</v>
      </c>
      <c r="U175" s="17">
        <f t="shared" si="30"/>
        <v>0.95677272882130038</v>
      </c>
    </row>
    <row r="176" spans="9:21" x14ac:dyDescent="0.3">
      <c r="I176">
        <v>79</v>
      </c>
      <c r="J176" s="17">
        <f t="shared" si="31"/>
        <v>0.19080899537654492</v>
      </c>
      <c r="K176" s="19">
        <f t="shared" si="32"/>
        <v>1.0258785005006591E-51</v>
      </c>
      <c r="L176" s="20">
        <f t="shared" si="33"/>
        <v>2.0738904299472503E-90</v>
      </c>
      <c r="M176" s="31">
        <f t="shared" si="29"/>
        <v>5.9578740429523322E-5</v>
      </c>
      <c r="O176" s="18">
        <f t="shared" si="34"/>
        <v>0.19080899537654492</v>
      </c>
      <c r="U176" s="17">
        <f t="shared" si="30"/>
        <v>0.96359192728339371</v>
      </c>
    </row>
    <row r="177" spans="9:21" x14ac:dyDescent="0.3">
      <c r="I177">
        <v>80</v>
      </c>
      <c r="J177" s="17">
        <f t="shared" si="31"/>
        <v>0.17364817766693041</v>
      </c>
      <c r="K177" s="19">
        <f t="shared" si="32"/>
        <v>1.2888539247859851E-54</v>
      </c>
      <c r="L177" s="20">
        <f t="shared" si="33"/>
        <v>1.6386001185410966E-95</v>
      </c>
      <c r="M177" s="31">
        <f t="shared" si="29"/>
        <v>4.6500181040329523E-5</v>
      </c>
      <c r="O177" s="18">
        <f t="shared" si="34"/>
        <v>0.17364817766693041</v>
      </c>
      <c r="U177" s="17">
        <f t="shared" si="30"/>
        <v>0.96984631039295421</v>
      </c>
    </row>
    <row r="178" spans="9:21" x14ac:dyDescent="0.3">
      <c r="I178">
        <v>81</v>
      </c>
      <c r="J178" s="17">
        <f t="shared" si="31"/>
        <v>0.15643446504023092</v>
      </c>
      <c r="K178" s="19">
        <f t="shared" si="32"/>
        <v>7.8850240872812441E-58</v>
      </c>
      <c r="L178" s="20">
        <f t="shared" si="33"/>
        <v>3.6517094879466687E-101</v>
      </c>
      <c r="M178" s="31">
        <f t="shared" si="29"/>
        <v>3.6179624043472693E-5</v>
      </c>
      <c r="O178" s="18">
        <f t="shared" si="34"/>
        <v>0.15643446504023092</v>
      </c>
      <c r="U178" s="17">
        <f t="shared" si="30"/>
        <v>0.97552825814757682</v>
      </c>
    </row>
    <row r="179" spans="9:21" x14ac:dyDescent="0.3">
      <c r="I179">
        <v>82</v>
      </c>
      <c r="J179" s="17">
        <f t="shared" si="31"/>
        <v>0.13917310096006569</v>
      </c>
      <c r="K179" s="19">
        <f t="shared" si="32"/>
        <v>1.9855385563197709E-61</v>
      </c>
      <c r="L179" s="20">
        <f t="shared" si="33"/>
        <v>1.7077727896484474E-107</v>
      </c>
      <c r="M179" s="31">
        <f t="shared" si="29"/>
        <v>2.8062059109365606E-5</v>
      </c>
      <c r="O179" s="18">
        <f t="shared" si="34"/>
        <v>0.13917310096006569</v>
      </c>
      <c r="U179" s="17">
        <f t="shared" si="30"/>
        <v>0.98063084796915934</v>
      </c>
    </row>
    <row r="180" spans="9:21" x14ac:dyDescent="0.3">
      <c r="I180">
        <v>83</v>
      </c>
      <c r="J180" s="17">
        <f t="shared" si="31"/>
        <v>0.12186934340514749</v>
      </c>
      <c r="K180" s="19">
        <f t="shared" si="32"/>
        <v>1.6257689559823468E-65</v>
      </c>
      <c r="L180" s="20">
        <f t="shared" si="33"/>
        <v>1.1071768202863479E-114</v>
      </c>
      <c r="M180" s="31">
        <f t="shared" si="29"/>
        <v>2.1698069709069969E-5</v>
      </c>
      <c r="O180" s="18">
        <f t="shared" si="34"/>
        <v>0.12186934340514749</v>
      </c>
      <c r="U180" s="17">
        <f t="shared" si="30"/>
        <v>0.98514786313799818</v>
      </c>
    </row>
    <row r="181" spans="9:21" x14ac:dyDescent="0.3">
      <c r="I181">
        <v>84</v>
      </c>
      <c r="J181" s="17">
        <f t="shared" si="31"/>
        <v>0.10452846326765346</v>
      </c>
      <c r="K181" s="19">
        <f t="shared" si="32"/>
        <v>3.0648779189638164E-70</v>
      </c>
      <c r="L181" s="20">
        <f t="shared" si="33"/>
        <v>5.4218324716203396E-123</v>
      </c>
      <c r="M181" s="31">
        <f t="shared" si="29"/>
        <v>1.6725100832451434E-5</v>
      </c>
      <c r="O181" s="18">
        <f t="shared" si="34"/>
        <v>0.10452846326765346</v>
      </c>
      <c r="U181" s="17">
        <f t="shared" si="30"/>
        <v>0.98907380036690284</v>
      </c>
    </row>
    <row r="182" spans="9:21" x14ac:dyDescent="0.3">
      <c r="I182">
        <v>85</v>
      </c>
      <c r="J182" s="17">
        <f t="shared" si="31"/>
        <v>8.7155742747658138E-2</v>
      </c>
      <c r="K182" s="19">
        <f t="shared" si="32"/>
        <v>7.7892403486357351E-76</v>
      </c>
      <c r="L182" s="20">
        <f t="shared" si="33"/>
        <v>7.8229937499689557E-133</v>
      </c>
      <c r="M182" s="31">
        <f t="shared" si="29"/>
        <v>1.2851755921697797E-5</v>
      </c>
      <c r="O182" s="18">
        <f t="shared" si="34"/>
        <v>8.7155742747658138E-2</v>
      </c>
      <c r="U182" s="17">
        <f t="shared" si="30"/>
        <v>0.99240387650610407</v>
      </c>
    </row>
    <row r="183" spans="9:21" x14ac:dyDescent="0.3">
      <c r="I183">
        <v>86</v>
      </c>
      <c r="J183" s="17">
        <f t="shared" si="31"/>
        <v>6.9756473744125455E-2</v>
      </c>
      <c r="K183" s="19">
        <f t="shared" si="32"/>
        <v>1.0886471808131194E-82</v>
      </c>
      <c r="L183" s="20">
        <f t="shared" si="33"/>
        <v>6.8700552873353006E-145</v>
      </c>
      <c r="M183" s="31">
        <f t="shared" si="29"/>
        <v>9.8446951572396325E-6</v>
      </c>
      <c r="O183" s="18">
        <f t="shared" si="34"/>
        <v>6.9756473744125455E-2</v>
      </c>
      <c r="U183" s="17">
        <f t="shared" si="30"/>
        <v>0.99513403437078518</v>
      </c>
    </row>
    <row r="184" spans="9:21" x14ac:dyDescent="0.3">
      <c r="I184">
        <v>87</v>
      </c>
      <c r="J184" s="17">
        <f t="shared" si="31"/>
        <v>5.2335956242943966E-2</v>
      </c>
      <c r="K184" s="19">
        <f t="shared" si="32"/>
        <v>1.5579816002341329E-91</v>
      </c>
      <c r="L184" s="20">
        <f t="shared" si="33"/>
        <v>1.9093260296600805E-160</v>
      </c>
      <c r="M184" s="31">
        <f t="shared" si="29"/>
        <v>7.5177547897290968E-6</v>
      </c>
      <c r="O184" s="18">
        <f t="shared" si="34"/>
        <v>5.2335956242943966E-2</v>
      </c>
      <c r="U184" s="17">
        <f t="shared" si="30"/>
        <v>0.99726094768413664</v>
      </c>
    </row>
    <row r="185" spans="9:21" x14ac:dyDescent="0.3">
      <c r="I185">
        <v>88</v>
      </c>
      <c r="J185" s="17">
        <f t="shared" si="31"/>
        <v>3.489949670250108E-2</v>
      </c>
      <c r="K185" s="19">
        <f t="shared" si="32"/>
        <v>5.2429945828898957E-104</v>
      </c>
      <c r="L185" s="20">
        <f t="shared" si="33"/>
        <v>2.2000697507748135E-182</v>
      </c>
      <c r="M185" s="31">
        <f t="shared" si="29"/>
        <v>5.7229522049724446E-6</v>
      </c>
      <c r="O185" s="18">
        <f t="shared" si="34"/>
        <v>3.489949670250108E-2</v>
      </c>
      <c r="U185" s="17">
        <f t="shared" si="30"/>
        <v>0.9987820251299121</v>
      </c>
    </row>
    <row r="186" spans="9:21" x14ac:dyDescent="0.3">
      <c r="I186">
        <v>89</v>
      </c>
      <c r="J186" s="17">
        <f t="shared" si="31"/>
        <v>1.7452406437283376E-2</v>
      </c>
      <c r="K186" s="19">
        <f t="shared" si="32"/>
        <v>2.4445743601939591E-125</v>
      </c>
      <c r="L186" s="20">
        <f t="shared" si="33"/>
        <v>6.6553064525861618E-220</v>
      </c>
      <c r="M186" s="31">
        <f t="shared" si="29"/>
        <v>4.343083322435166E-6</v>
      </c>
      <c r="O186" s="18">
        <f t="shared" si="34"/>
        <v>1.7452406437283376E-2</v>
      </c>
      <c r="U186" s="17">
        <f t="shared" si="30"/>
        <v>0.99969541350954783</v>
      </c>
    </row>
    <row r="187" spans="9:21" x14ac:dyDescent="0.3">
      <c r="I187">
        <v>90</v>
      </c>
      <c r="J187" s="17">
        <f t="shared" si="31"/>
        <v>6.1257422745431001E-17</v>
      </c>
      <c r="K187" s="19">
        <f t="shared" si="32"/>
        <v>0</v>
      </c>
      <c r="L187" s="20">
        <f t="shared" si="33"/>
        <v>0</v>
      </c>
      <c r="M187" s="31">
        <f t="shared" si="29"/>
        <v>3.2856574492373478E-6</v>
      </c>
      <c r="O187" s="18">
        <f t="shared" si="34"/>
        <v>6.1257422745431001E-17</v>
      </c>
      <c r="U187" s="17">
        <f t="shared" si="30"/>
        <v>1</v>
      </c>
    </row>
  </sheetData>
  <protectedRanges>
    <protectedRange sqref="B15 D16 E18 F19" name="Bereich1"/>
  </protectedRanges>
  <hyperlinks>
    <hyperlink ref="A11" r:id="rId1" xr:uid="{6114B73E-EB6D-4A89-9969-D14C4B188C8D}"/>
    <hyperlink ref="A10" r:id="rId2" xr:uid="{7ED8D592-502E-4351-A1FD-16C1E872D80C}"/>
  </hyperlinks>
  <pageMargins left="0.7" right="0.7" top="0.78740157499999996" bottom="0.78740157499999996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3845-EC54-49F0-8C79-12EF06686B6C}">
  <dimension ref="A1:H221"/>
  <sheetViews>
    <sheetView workbookViewId="0">
      <selection activeCell="A11" sqref="A11"/>
    </sheetView>
  </sheetViews>
  <sheetFormatPr defaultColWidth="11.5546875" defaultRowHeight="14.4" x14ac:dyDescent="0.3"/>
  <cols>
    <col min="2" max="5" width="12" bestFit="1" customWidth="1"/>
    <col min="7" max="7" width="12" bestFit="1" customWidth="1"/>
    <col min="8" max="8" width="20.6640625" bestFit="1" customWidth="1"/>
  </cols>
  <sheetData>
    <row r="1" spans="1:8" ht="21" x14ac:dyDescent="0.4">
      <c r="A1" s="24" t="s">
        <v>43</v>
      </c>
    </row>
    <row r="2" spans="1:8" x14ac:dyDescent="0.3">
      <c r="A2" t="str">
        <f>"n = "&amp;FIXED(cosn!B15,2)</f>
        <v>n = 1.00</v>
      </c>
      <c r="B2" t="s">
        <v>58</v>
      </c>
    </row>
    <row r="3" spans="1:8" x14ac:dyDescent="0.3">
      <c r="A3" t="s">
        <v>45</v>
      </c>
    </row>
    <row r="4" spans="1:8" x14ac:dyDescent="0.3">
      <c r="G4" s="23"/>
      <c r="H4" s="23"/>
    </row>
    <row r="5" spans="1:8" x14ac:dyDescent="0.3">
      <c r="A5" t="s">
        <v>46</v>
      </c>
      <c r="G5" s="23"/>
      <c r="H5" s="23"/>
    </row>
    <row r="6" spans="1:8" x14ac:dyDescent="0.3">
      <c r="A6" t="s">
        <v>47</v>
      </c>
      <c r="G6" s="23"/>
      <c r="H6" s="23"/>
    </row>
    <row r="7" spans="1:8" x14ac:dyDescent="0.3">
      <c r="A7" t="s">
        <v>48</v>
      </c>
      <c r="G7" s="23"/>
      <c r="H7" s="23"/>
    </row>
    <row r="8" spans="1:8" x14ac:dyDescent="0.3">
      <c r="A8" t="s">
        <v>49</v>
      </c>
      <c r="G8" s="23"/>
      <c r="H8" s="23"/>
    </row>
    <row r="9" spans="1:8" x14ac:dyDescent="0.3">
      <c r="G9" s="23"/>
      <c r="H9" s="23"/>
    </row>
    <row r="10" spans="1:8" x14ac:dyDescent="0.3">
      <c r="G10" s="23"/>
      <c r="H10" s="23"/>
    </row>
    <row r="11" spans="1:8" x14ac:dyDescent="0.3">
      <c r="G11" s="23"/>
      <c r="H11" s="23"/>
    </row>
    <row r="12" spans="1:8" x14ac:dyDescent="0.3">
      <c r="G12" s="23"/>
      <c r="H12" s="23"/>
    </row>
    <row r="13" spans="1:8" x14ac:dyDescent="0.3">
      <c r="G13" s="23"/>
      <c r="H13" s="23"/>
    </row>
    <row r="14" spans="1:8" x14ac:dyDescent="0.3">
      <c r="G14" s="23"/>
      <c r="H14" s="23"/>
    </row>
    <row r="15" spans="1:8" x14ac:dyDescent="0.3">
      <c r="A15" t="s">
        <v>50</v>
      </c>
      <c r="G15" s="23"/>
      <c r="H15" s="23"/>
    </row>
    <row r="16" spans="1:8" x14ac:dyDescent="0.3">
      <c r="A16" t="s">
        <v>51</v>
      </c>
      <c r="G16" s="23"/>
      <c r="H16" s="23"/>
    </row>
    <row r="17" spans="1:8" x14ac:dyDescent="0.3">
      <c r="G17" s="23"/>
      <c r="H17" s="23"/>
    </row>
    <row r="18" spans="1:8" x14ac:dyDescent="0.3">
      <c r="G18" s="23"/>
      <c r="H18" s="23"/>
    </row>
    <row r="19" spans="1:8" x14ac:dyDescent="0.3">
      <c r="G19" s="23"/>
      <c r="H19" s="23"/>
    </row>
    <row r="20" spans="1:8" x14ac:dyDescent="0.3">
      <c r="G20" s="23"/>
      <c r="H20" s="23"/>
    </row>
    <row r="21" spans="1:8" x14ac:dyDescent="0.3">
      <c r="G21" s="23"/>
      <c r="H21" s="23"/>
    </row>
    <row r="22" spans="1:8" x14ac:dyDescent="0.3">
      <c r="G22" s="23"/>
      <c r="H22" s="23"/>
    </row>
    <row r="23" spans="1:8" x14ac:dyDescent="0.3">
      <c r="G23" s="23"/>
      <c r="H23" s="23"/>
    </row>
    <row r="24" spans="1:8" x14ac:dyDescent="0.3">
      <c r="A24" t="s">
        <v>52</v>
      </c>
      <c r="G24" s="23"/>
      <c r="H24" s="23"/>
    </row>
    <row r="25" spans="1:8" x14ac:dyDescent="0.3">
      <c r="A25" t="s">
        <v>53</v>
      </c>
      <c r="G25" s="23"/>
      <c r="H25" s="23"/>
    </row>
    <row r="26" spans="1:8" x14ac:dyDescent="0.3">
      <c r="A26" t="s">
        <v>54</v>
      </c>
      <c r="G26" s="23"/>
      <c r="H26" s="23"/>
    </row>
    <row r="27" spans="1:8" x14ac:dyDescent="0.3">
      <c r="A27" t="s">
        <v>55</v>
      </c>
      <c r="G27" s="23"/>
      <c r="H27" s="23"/>
    </row>
    <row r="28" spans="1:8" x14ac:dyDescent="0.3">
      <c r="A28" t="s">
        <v>56</v>
      </c>
      <c r="G28" s="23"/>
      <c r="H28" s="23"/>
    </row>
    <row r="29" spans="1:8" x14ac:dyDescent="0.3">
      <c r="A29" t="s">
        <v>57</v>
      </c>
      <c r="G29" s="23"/>
      <c r="H29" s="23"/>
    </row>
    <row r="30" spans="1:8" x14ac:dyDescent="0.3">
      <c r="G30" s="23"/>
      <c r="H30" s="23"/>
    </row>
    <row r="31" spans="1:8" x14ac:dyDescent="0.3">
      <c r="G31" s="23"/>
      <c r="H31" s="23"/>
    </row>
    <row r="32" spans="1:8" x14ac:dyDescent="0.3">
      <c r="G32" s="23"/>
      <c r="H32" s="23"/>
    </row>
    <row r="33" spans="1:8" x14ac:dyDescent="0.3">
      <c r="G33" s="23"/>
      <c r="H33" s="23"/>
    </row>
    <row r="34" spans="1:8" x14ac:dyDescent="0.3">
      <c r="G34" s="23"/>
      <c r="H34" s="23"/>
    </row>
    <row r="35" spans="1:8" x14ac:dyDescent="0.3">
      <c r="G35" s="23"/>
      <c r="H35" s="23"/>
    </row>
    <row r="36" spans="1:8" x14ac:dyDescent="0.3">
      <c r="G36" t="s">
        <v>1</v>
      </c>
      <c r="H36" s="21">
        <f>cosn!B15</f>
        <v>1</v>
      </c>
    </row>
    <row r="38" spans="1:8" x14ac:dyDescent="0.3">
      <c r="G38" s="23" t="s">
        <v>14</v>
      </c>
      <c r="H38" s="23" t="s">
        <v>34</v>
      </c>
    </row>
    <row r="39" spans="1:8" x14ac:dyDescent="0.3">
      <c r="A39" t="s">
        <v>44</v>
      </c>
      <c r="B39" t="s">
        <v>59</v>
      </c>
      <c r="C39" t="s">
        <v>60</v>
      </c>
      <c r="D39" t="s">
        <v>61</v>
      </c>
      <c r="E39" t="s">
        <v>62</v>
      </c>
      <c r="F39">
        <v>-90</v>
      </c>
      <c r="G39">
        <f>COS(RADIANS(F39))</f>
        <v>6.1257422745431001E-17</v>
      </c>
      <c r="H39">
        <f t="shared" ref="H39:H70" si="0">G39^($H$36+1)</f>
        <v>3.7524718414124473E-33</v>
      </c>
    </row>
    <row r="40" spans="1:8" x14ac:dyDescent="0.3">
      <c r="A40">
        <v>-90</v>
      </c>
      <c r="B40" s="3">
        <f t="shared" ref="B40:B71" si="1">(H40-H39)/(($H$36+1)*(G40-G39))</f>
        <v>4.3632677491869786E-3</v>
      </c>
      <c r="C40">
        <f>COS(RADIANS(A40))^cosn!$B$15</f>
        <v>6.1257422745431001E-17</v>
      </c>
      <c r="D40">
        <f>+B40-C40</f>
        <v>4.363267749186917E-3</v>
      </c>
      <c r="E40">
        <f>+B40/C40</f>
        <v>71228392472852.141</v>
      </c>
      <c r="F40">
        <v>-89.5</v>
      </c>
      <c r="G40">
        <f t="shared" ref="G40:G103" si="2">COS(RADIANS(F40))</f>
        <v>8.7265354983738965E-3</v>
      </c>
      <c r="H40">
        <f t="shared" si="0"/>
        <v>7.6152421804379753E-5</v>
      </c>
    </row>
    <row r="41" spans="1:8" x14ac:dyDescent="0.3">
      <c r="A41">
        <v>-89</v>
      </c>
      <c r="B41" s="3">
        <f t="shared" si="1"/>
        <v>1.7451741903123517E-2</v>
      </c>
      <c r="C41">
        <f>COS(RADIANS(A41))^cosn!$B$15</f>
        <v>1.7452406437283598E-2</v>
      </c>
      <c r="D41">
        <f t="shared" ref="D41:D104" si="3">+B41-C41</f>
        <v>-6.6453416008166455E-7</v>
      </c>
      <c r="E41">
        <f t="shared" ref="E41:E104" si="4">+B41/C41</f>
        <v>0.99996192306416487</v>
      </c>
      <c r="F41">
        <v>-88.5</v>
      </c>
      <c r="G41">
        <f t="shared" si="2"/>
        <v>2.6176948307873139E-2</v>
      </c>
      <c r="H41">
        <f t="shared" si="0"/>
        <v>6.8523262271306235E-4</v>
      </c>
    </row>
    <row r="42" spans="1:8" x14ac:dyDescent="0.3">
      <c r="A42">
        <v>-88</v>
      </c>
      <c r="B42" s="3">
        <f t="shared" si="1"/>
        <v>3.4898167836604578E-2</v>
      </c>
      <c r="C42">
        <f>COS(RADIANS(A42))^cosn!$B$15</f>
        <v>3.489949670250108E-2</v>
      </c>
      <c r="D42">
        <f t="shared" si="3"/>
        <v>-1.3288658965021627E-6</v>
      </c>
      <c r="E42">
        <f t="shared" si="4"/>
        <v>0.9999619230641682</v>
      </c>
      <c r="F42">
        <v>-87.5</v>
      </c>
      <c r="G42">
        <f t="shared" si="2"/>
        <v>4.3619387365336007E-2</v>
      </c>
      <c r="H42">
        <f t="shared" si="0"/>
        <v>1.9026509541272346E-3</v>
      </c>
    </row>
    <row r="43" spans="1:8" x14ac:dyDescent="0.3">
      <c r="A43">
        <v>-87</v>
      </c>
      <c r="B43" s="3">
        <f t="shared" si="1"/>
        <v>5.233396345009645E-2</v>
      </c>
      <c r="C43">
        <f>COS(RADIANS(A43))^cosn!$B$15</f>
        <v>5.2335956242943966E-2</v>
      </c>
      <c r="D43">
        <f t="shared" si="3"/>
        <v>-1.9927928475160783E-6</v>
      </c>
      <c r="E43">
        <f t="shared" si="4"/>
        <v>0.99996192306416898</v>
      </c>
      <c r="F43">
        <v>-86.5</v>
      </c>
      <c r="G43">
        <f t="shared" si="2"/>
        <v>6.1048539534856908E-2</v>
      </c>
      <c r="H43">
        <f t="shared" si="0"/>
        <v>3.7269241793389868E-3</v>
      </c>
    </row>
    <row r="44" spans="1:8" x14ac:dyDescent="0.3">
      <c r="A44">
        <v>-86</v>
      </c>
      <c r="B44" s="3">
        <f t="shared" si="1"/>
        <v>6.9753817631350953E-2</v>
      </c>
      <c r="C44">
        <f>COS(RADIANS(A44))^cosn!$B$15</f>
        <v>6.9756473744125233E-2</v>
      </c>
      <c r="D44">
        <f t="shared" si="3"/>
        <v>-2.6561127742796842E-6</v>
      </c>
      <c r="E44">
        <f t="shared" si="4"/>
        <v>0.99996192306417286</v>
      </c>
      <c r="F44">
        <v>-85.5</v>
      </c>
      <c r="G44">
        <f t="shared" si="2"/>
        <v>7.8459095727844999E-2</v>
      </c>
      <c r="H44">
        <f t="shared" si="0"/>
        <v>6.1558297024311452E-3</v>
      </c>
    </row>
    <row r="45" spans="1:8" x14ac:dyDescent="0.3">
      <c r="A45">
        <v>-85</v>
      </c>
      <c r="B45" s="3">
        <f t="shared" si="1"/>
        <v>8.7152424124034553E-2</v>
      </c>
      <c r="C45">
        <f>COS(RADIANS(A45))^cosn!$B$15</f>
        <v>8.7155742747658138E-2</v>
      </c>
      <c r="D45">
        <f t="shared" si="3"/>
        <v>-3.3186236235854816E-6</v>
      </c>
      <c r="E45">
        <f t="shared" si="4"/>
        <v>0.99996192306417264</v>
      </c>
      <c r="F45">
        <v>-84.5</v>
      </c>
      <c r="G45">
        <f t="shared" si="2"/>
        <v>9.5845752520224065E-2</v>
      </c>
      <c r="H45">
        <f t="shared" si="0"/>
        <v>9.1864082761680382E-3</v>
      </c>
    </row>
    <row r="46" spans="1:8" x14ac:dyDescent="0.3">
      <c r="A46">
        <v>-84</v>
      </c>
      <c r="B46" s="3">
        <f t="shared" si="1"/>
        <v>0.10452448314406546</v>
      </c>
      <c r="C46">
        <f>COS(RADIANS(A46))^cosn!$B$15</f>
        <v>0.10452846326765346</v>
      </c>
      <c r="D46">
        <f t="shared" si="3"/>
        <v>-3.9801235880015939E-6</v>
      </c>
      <c r="E46">
        <f t="shared" si="4"/>
        <v>0.99996192306417242</v>
      </c>
      <c r="F46">
        <v>-83.5</v>
      </c>
      <c r="G46">
        <f t="shared" si="2"/>
        <v>0.11320321376790683</v>
      </c>
      <c r="H46">
        <f t="shared" si="0"/>
        <v>1.2814967607382412E-2</v>
      </c>
    </row>
    <row r="47" spans="1:8" x14ac:dyDescent="0.3">
      <c r="A47">
        <v>-83</v>
      </c>
      <c r="B47" s="3">
        <f t="shared" si="1"/>
        <v>0.12186470299397928</v>
      </c>
      <c r="C47">
        <f>COS(RADIANS(A47))^cosn!$B$15</f>
        <v>0.12186934340514749</v>
      </c>
      <c r="D47">
        <f t="shared" si="3"/>
        <v>-4.6404111682107896E-6</v>
      </c>
      <c r="E47">
        <f t="shared" si="4"/>
        <v>0.9999619230641722</v>
      </c>
      <c r="F47">
        <v>-82.5</v>
      </c>
      <c r="G47">
        <f t="shared" si="2"/>
        <v>0.13052619222005171</v>
      </c>
      <c r="H47">
        <f t="shared" si="0"/>
        <v>1.7037086855465889E-2</v>
      </c>
    </row>
    <row r="48" spans="1:8" x14ac:dyDescent="0.3">
      <c r="A48">
        <v>-82</v>
      </c>
      <c r="B48" s="3">
        <f t="shared" si="1"/>
        <v>0.13916780167483109</v>
      </c>
      <c r="C48">
        <f>COS(RADIANS(A48))^cosn!$B$15</f>
        <v>0.13917310096006547</v>
      </c>
      <c r="D48">
        <f t="shared" si="3"/>
        <v>-5.2992852343780594E-6</v>
      </c>
      <c r="E48">
        <f t="shared" si="4"/>
        <v>0.99996192306417098</v>
      </c>
      <c r="F48">
        <v>-81.5</v>
      </c>
      <c r="G48">
        <f t="shared" si="2"/>
        <v>0.14780941112961055</v>
      </c>
      <c r="H48">
        <f t="shared" si="0"/>
        <v>2.1847622018482237E-2</v>
      </c>
    </row>
    <row r="49" spans="1:8" x14ac:dyDescent="0.3">
      <c r="A49">
        <v>-81</v>
      </c>
      <c r="B49" s="3">
        <f t="shared" si="1"/>
        <v>0.15642850849514406</v>
      </c>
      <c r="C49">
        <f>COS(RADIANS(A49))^cosn!$B$15</f>
        <v>0.15643446504023092</v>
      </c>
      <c r="D49">
        <f t="shared" si="3"/>
        <v>-5.9565450868659386E-6</v>
      </c>
      <c r="E49">
        <f t="shared" si="4"/>
        <v>0.99996192306417042</v>
      </c>
      <c r="F49">
        <v>-80.5</v>
      </c>
      <c r="G49">
        <f t="shared" si="2"/>
        <v>0.1650476058606776</v>
      </c>
      <c r="H49">
        <f t="shared" si="0"/>
        <v>2.7240712200341577E-2</v>
      </c>
    </row>
    <row r="50" spans="1:8" x14ac:dyDescent="0.3">
      <c r="A50">
        <v>-80</v>
      </c>
      <c r="B50" s="3">
        <f t="shared" si="1"/>
        <v>0.17364156567641259</v>
      </c>
      <c r="C50">
        <f>COS(RADIANS(A50))^cosn!$B$15</f>
        <v>0.17364817766693041</v>
      </c>
      <c r="D50">
        <f t="shared" si="3"/>
        <v>-6.6119905178241289E-6</v>
      </c>
      <c r="E50">
        <f t="shared" si="4"/>
        <v>0.99996192306417109</v>
      </c>
      <c r="F50">
        <v>-79.5</v>
      </c>
      <c r="G50">
        <f t="shared" si="2"/>
        <v>0.18223552549214744</v>
      </c>
      <c r="H50">
        <f t="shared" si="0"/>
        <v>3.3209786751399122E-2</v>
      </c>
    </row>
    <row r="51" spans="1:8" x14ac:dyDescent="0.3">
      <c r="A51">
        <v>-79</v>
      </c>
      <c r="B51" s="3">
        <f t="shared" si="1"/>
        <v>0.19080172995467232</v>
      </c>
      <c r="C51">
        <f>COS(RADIANS(A51))^cosn!$B$15</f>
        <v>0.19080899537654492</v>
      </c>
      <c r="D51">
        <f t="shared" si="3"/>
        <v>-7.2654218725987096E-6</v>
      </c>
      <c r="E51">
        <f t="shared" si="4"/>
        <v>0.99996192306417075</v>
      </c>
      <c r="F51">
        <v>-78.5</v>
      </c>
      <c r="G51">
        <f t="shared" si="2"/>
        <v>0.19936793441719719</v>
      </c>
      <c r="H51">
        <f t="shared" si="0"/>
        <v>3.974757327377984E-2</v>
      </c>
    </row>
    <row r="52" spans="1:8" x14ac:dyDescent="0.3">
      <c r="A52">
        <v>-78</v>
      </c>
      <c r="B52" s="3">
        <f t="shared" si="1"/>
        <v>0.2079037741776501</v>
      </c>
      <c r="C52">
        <f>COS(RADIANS(A52))^cosn!$B$15</f>
        <v>0.20791169081775945</v>
      </c>
      <c r="D52">
        <f t="shared" si="3"/>
        <v>-7.9166401093511141E-6</v>
      </c>
      <c r="E52">
        <f t="shared" si="4"/>
        <v>0.99996192306417109</v>
      </c>
      <c r="F52">
        <v>-77.5</v>
      </c>
      <c r="G52">
        <f t="shared" si="2"/>
        <v>0.2164396139381029</v>
      </c>
      <c r="H52">
        <f t="shared" si="0"/>
        <v>4.6846106481675032E-2</v>
      </c>
    </row>
    <row r="53" spans="1:8" x14ac:dyDescent="0.3">
      <c r="A53">
        <v>-77</v>
      </c>
      <c r="B53" s="3">
        <f t="shared" si="1"/>
        <v>0.22494248889700413</v>
      </c>
      <c r="C53">
        <f>COS(RADIANS(A53))^cosn!$B$15</f>
        <v>0.22495105434386492</v>
      </c>
      <c r="D53">
        <f t="shared" si="3"/>
        <v>-8.5654468607865297E-6</v>
      </c>
      <c r="E53">
        <f t="shared" si="4"/>
        <v>0.99996192306417153</v>
      </c>
      <c r="F53">
        <v>-76.5</v>
      </c>
      <c r="G53">
        <f t="shared" si="2"/>
        <v>0.23344536385590547</v>
      </c>
      <c r="H53">
        <f t="shared" si="0"/>
        <v>5.4496737905816099E-2</v>
      </c>
    </row>
    <row r="54" spans="1:8" x14ac:dyDescent="0.3">
      <c r="A54">
        <v>-76</v>
      </c>
      <c r="B54" s="3">
        <f t="shared" si="1"/>
        <v>0.24191268395517354</v>
      </c>
      <c r="C54">
        <f>COS(RADIANS(A54))^cosn!$B$15</f>
        <v>0.24192189559966767</v>
      </c>
      <c r="D54">
        <f t="shared" si="3"/>
        <v>-9.2116444941336972E-6</v>
      </c>
      <c r="E54">
        <f t="shared" si="4"/>
        <v>0.99996192306417198</v>
      </c>
      <c r="F54">
        <v>-75.5</v>
      </c>
      <c r="G54">
        <f t="shared" si="2"/>
        <v>0.2503800040544415</v>
      </c>
      <c r="H54">
        <f t="shared" si="0"/>
        <v>6.2690146430302143E-2</v>
      </c>
    </row>
    <row r="55" spans="1:8" x14ac:dyDescent="0.3">
      <c r="A55">
        <v>-75</v>
      </c>
      <c r="B55" s="3">
        <f t="shared" si="1"/>
        <v>0.25880919006634923</v>
      </c>
      <c r="C55">
        <f>COS(RADIANS(A55))^cosn!$B$15</f>
        <v>0.25881904510252074</v>
      </c>
      <c r="D55">
        <f t="shared" si="3"/>
        <v>-9.8550361715132873E-6</v>
      </c>
      <c r="E55">
        <f t="shared" si="4"/>
        <v>0.99996192306417164</v>
      </c>
      <c r="F55">
        <v>-74.5</v>
      </c>
      <c r="G55">
        <f t="shared" si="2"/>
        <v>0.26723837607825696</v>
      </c>
      <c r="H55">
        <f t="shared" si="0"/>
        <v>7.1416349648943903E-2</v>
      </c>
    </row>
    <row r="56" spans="1:8" x14ac:dyDescent="0.3">
      <c r="A56">
        <v>-74</v>
      </c>
      <c r="B56" s="3">
        <f t="shared" si="1"/>
        <v>0.27562686039108958</v>
      </c>
      <c r="C56">
        <f>COS(RADIANS(A56))^cosn!$B$15</f>
        <v>0.27563735581699916</v>
      </c>
      <c r="D56">
        <f t="shared" si="3"/>
        <v>-1.0495425909584633E-5</v>
      </c>
      <c r="E56">
        <f t="shared" si="4"/>
        <v>0.99996192306417075</v>
      </c>
      <c r="F56">
        <v>-73.5</v>
      </c>
      <c r="G56">
        <f t="shared" si="2"/>
        <v>0.28401534470392276</v>
      </c>
      <c r="H56">
        <f t="shared" si="0"/>
        <v>8.0664716027288058E-2</v>
      </c>
    </row>
    <row r="57" spans="1:8" x14ac:dyDescent="0.3">
      <c r="A57">
        <v>-73</v>
      </c>
      <c r="B57" s="3">
        <f t="shared" si="1"/>
        <v>0.29236057210409816</v>
      </c>
      <c r="C57">
        <f>COS(RADIANS(A57))^cosn!$B$15</f>
        <v>0.29237170472273677</v>
      </c>
      <c r="D57">
        <f t="shared" si="3"/>
        <v>-1.1132618638609593E-5</v>
      </c>
      <c r="E57">
        <f t="shared" si="4"/>
        <v>0.99996192306417209</v>
      </c>
      <c r="F57">
        <v>-72.5</v>
      </c>
      <c r="G57">
        <f t="shared" si="2"/>
        <v>0.30070579950427306</v>
      </c>
      <c r="H57">
        <f t="shared" si="0"/>
        <v>9.0423977855504073E-2</v>
      </c>
    </row>
    <row r="58" spans="1:8" x14ac:dyDescent="0.3">
      <c r="A58">
        <v>-72</v>
      </c>
      <c r="B58" s="3">
        <f t="shared" si="1"/>
        <v>0.30900522795468238</v>
      </c>
      <c r="C58">
        <f>COS(RADIANS(A58))^cosn!$B$15</f>
        <v>0.30901699437494745</v>
      </c>
      <c r="D58">
        <f t="shared" si="3"/>
        <v>-1.1766420265069133E-5</v>
      </c>
      <c r="E58">
        <f t="shared" si="4"/>
        <v>0.99996192306417042</v>
      </c>
      <c r="F58">
        <v>-71.5</v>
      </c>
      <c r="G58">
        <f t="shared" si="2"/>
        <v>0.31730465640509209</v>
      </c>
      <c r="H58">
        <f t="shared" si="0"/>
        <v>0.10068224497635354</v>
      </c>
    </row>
    <row r="59" spans="1:8" x14ac:dyDescent="0.3">
      <c r="A59">
        <v>-71</v>
      </c>
      <c r="B59" s="3">
        <f t="shared" si="1"/>
        <v>0.3255557578194318</v>
      </c>
      <c r="C59">
        <f>COS(RADIANS(A59))^cosn!$B$15</f>
        <v>0.32556815445715676</v>
      </c>
      <c r="D59">
        <f t="shared" si="3"/>
        <v>-1.2396637724954029E-5</v>
      </c>
      <c r="E59">
        <f t="shared" si="4"/>
        <v>0.99996192306417186</v>
      </c>
      <c r="F59">
        <v>-70.5</v>
      </c>
      <c r="G59">
        <f t="shared" si="2"/>
        <v>0.3338068592337709</v>
      </c>
      <c r="H59">
        <f t="shared" si="0"/>
        <v>0.11142701927151455</v>
      </c>
    </row>
    <row r="60" spans="1:8" x14ac:dyDescent="0.3">
      <c r="A60">
        <v>-70</v>
      </c>
      <c r="B60" s="3">
        <f t="shared" si="1"/>
        <v>0.34200712024661895</v>
      </c>
      <c r="C60">
        <f>COS(RADIANS(A60))^cosn!$B$15</f>
        <v>0.34202014332566882</v>
      </c>
      <c r="D60">
        <f t="shared" si="3"/>
        <v>-1.302307904987865E-5</v>
      </c>
      <c r="E60">
        <f t="shared" si="4"/>
        <v>0.99996192306417031</v>
      </c>
      <c r="F60">
        <v>-69.5</v>
      </c>
      <c r="G60">
        <f t="shared" si="2"/>
        <v>0.35020738125946743</v>
      </c>
      <c r="H60">
        <f t="shared" si="0"/>
        <v>0.12264520988861398</v>
      </c>
    </row>
    <row r="61" spans="1:8" x14ac:dyDescent="0.3">
      <c r="A61">
        <v>-69</v>
      </c>
      <c r="B61" s="3">
        <f t="shared" si="1"/>
        <v>0.35835430399188228</v>
      </c>
      <c r="C61">
        <f>COS(RADIANS(A61))^cosn!$B$15</f>
        <v>0.35836794954530038</v>
      </c>
      <c r="D61">
        <f t="shared" si="3"/>
        <v>-1.3645553418095702E-5</v>
      </c>
      <c r="E61">
        <f t="shared" si="4"/>
        <v>0.99996192306417075</v>
      </c>
      <c r="F61">
        <v>-68.5</v>
      </c>
      <c r="G61">
        <f t="shared" si="2"/>
        <v>0.3665012267242973</v>
      </c>
      <c r="H61">
        <f t="shared" si="0"/>
        <v>0.13432314919041477</v>
      </c>
    </row>
    <row r="62" spans="1:8" x14ac:dyDescent="0.3">
      <c r="A62">
        <v>-68</v>
      </c>
      <c r="B62" s="3">
        <f t="shared" si="1"/>
        <v>0.37459232954469401</v>
      </c>
      <c r="C62">
        <f>COS(RADIANS(A62))^cosn!$B$15</f>
        <v>0.37460659341591196</v>
      </c>
      <c r="D62">
        <f t="shared" si="3"/>
        <v>-1.4263871217945479E-5</v>
      </c>
      <c r="E62">
        <f t="shared" si="4"/>
        <v>0.99996192306417275</v>
      </c>
      <c r="F62">
        <v>-67.5</v>
      </c>
      <c r="G62">
        <f t="shared" si="2"/>
        <v>0.38268343236508984</v>
      </c>
      <c r="H62">
        <f t="shared" si="0"/>
        <v>0.1464466094067263</v>
      </c>
    </row>
    <row r="63" spans="1:8" x14ac:dyDescent="0.3">
      <c r="A63">
        <v>-67</v>
      </c>
      <c r="B63" s="3">
        <f t="shared" si="1"/>
        <v>0.39071625064516785</v>
      </c>
      <c r="C63">
        <f>COS(RADIANS(A63))^cosn!$B$15</f>
        <v>0.39073112848927372</v>
      </c>
      <c r="D63">
        <f t="shared" si="3"/>
        <v>-1.4877844105865012E-5</v>
      </c>
      <c r="E63">
        <f t="shared" si="4"/>
        <v>0.99996192306417109</v>
      </c>
      <c r="F63">
        <v>-66.5</v>
      </c>
      <c r="G63">
        <f t="shared" si="2"/>
        <v>0.39874906892524625</v>
      </c>
      <c r="H63">
        <f t="shared" si="0"/>
        <v>0.15900081996875079</v>
      </c>
    </row>
    <row r="64" spans="1:8" x14ac:dyDescent="0.3">
      <c r="A64">
        <v>-66</v>
      </c>
      <c r="B64" s="3">
        <f t="shared" si="1"/>
        <v>0.40672115579074297</v>
      </c>
      <c r="C64">
        <f>COS(RADIANS(A64))^cosn!$B$15</f>
        <v>0.40673664307580021</v>
      </c>
      <c r="D64">
        <f t="shared" si="3"/>
        <v>-1.5487285057236289E-5</v>
      </c>
      <c r="E64">
        <f t="shared" si="4"/>
        <v>0.99996192306417209</v>
      </c>
      <c r="F64">
        <v>-65.5</v>
      </c>
      <c r="G64">
        <f t="shared" si="2"/>
        <v>0.41469324265623914</v>
      </c>
      <c r="H64">
        <f t="shared" si="0"/>
        <v>0.17197048550474645</v>
      </c>
    </row>
    <row r="65" spans="1:8" x14ac:dyDescent="0.3">
      <c r="A65">
        <v>-65</v>
      </c>
      <c r="B65" s="3">
        <f t="shared" si="1"/>
        <v>0.42260216973226677</v>
      </c>
      <c r="C65">
        <f>COS(RADIANS(A65))^cosn!$B$15</f>
        <v>0.42261826174069944</v>
      </c>
      <c r="D65">
        <f t="shared" si="3"/>
        <v>-1.609200843266656E-5</v>
      </c>
      <c r="E65">
        <f t="shared" si="4"/>
        <v>0.99996192306417053</v>
      </c>
      <c r="F65">
        <v>-64.5</v>
      </c>
      <c r="G65">
        <f t="shared" si="2"/>
        <v>0.43051109680829525</v>
      </c>
      <c r="H65">
        <f t="shared" si="0"/>
        <v>0.18533980447508136</v>
      </c>
    </row>
    <row r="66" spans="1:8" x14ac:dyDescent="0.3">
      <c r="A66">
        <v>-64</v>
      </c>
      <c r="B66" s="3">
        <f t="shared" si="1"/>
        <v>0.4383544549590519</v>
      </c>
      <c r="C66">
        <f>COS(RADIANS(A66))^cosn!$B$15</f>
        <v>0.43837114678907746</v>
      </c>
      <c r="D66">
        <f t="shared" si="3"/>
        <v>-1.6691830025561405E-5</v>
      </c>
      <c r="E66">
        <f t="shared" si="4"/>
        <v>0.99996192306417098</v>
      </c>
      <c r="F66">
        <v>-63.5</v>
      </c>
      <c r="G66">
        <f t="shared" si="2"/>
        <v>0.44619781310980872</v>
      </c>
      <c r="H66">
        <f t="shared" si="0"/>
        <v>0.19909248842397578</v>
      </c>
    </row>
    <row r="67" spans="1:8" x14ac:dyDescent="0.3">
      <c r="A67">
        <v>-63</v>
      </c>
      <c r="B67" s="3">
        <f t="shared" si="1"/>
        <v>0.45397321317242173</v>
      </c>
      <c r="C67">
        <f>COS(RADIANS(A67))^cosn!$B$15</f>
        <v>0.4539904997395468</v>
      </c>
      <c r="D67">
        <f t="shared" si="3"/>
        <v>-1.728656712507437E-5</v>
      </c>
      <c r="E67">
        <f t="shared" si="4"/>
        <v>0.99996192306417209</v>
      </c>
      <c r="F67">
        <v>-62.5</v>
      </c>
      <c r="G67">
        <f t="shared" si="2"/>
        <v>0.46174861323503386</v>
      </c>
      <c r="H67">
        <f t="shared" si="0"/>
        <v>0.21321178182447689</v>
      </c>
    </row>
    <row r="68" spans="1:8" x14ac:dyDescent="0.3">
      <c r="A68">
        <v>-62</v>
      </c>
      <c r="B68" s="3">
        <f t="shared" si="1"/>
        <v>0.46945368674732108</v>
      </c>
      <c r="C68">
        <f>COS(RADIANS(A68))^cosn!$B$15</f>
        <v>0.46947156278589086</v>
      </c>
      <c r="D68">
        <f t="shared" si="3"/>
        <v>-1.7876038569786257E-5</v>
      </c>
      <c r="E68">
        <f t="shared" si="4"/>
        <v>0.99996192306417087</v>
      </c>
      <c r="F68">
        <v>-61.5</v>
      </c>
      <c r="G68">
        <f t="shared" si="2"/>
        <v>0.47715876025960841</v>
      </c>
      <c r="H68">
        <f t="shared" si="0"/>
        <v>0.22768048249248646</v>
      </c>
    </row>
    <row r="69" spans="1:8" x14ac:dyDescent="0.3">
      <c r="A69">
        <v>-61</v>
      </c>
      <c r="B69" s="3">
        <f t="shared" si="1"/>
        <v>0.48479116018153789</v>
      </c>
      <c r="C69">
        <f>COS(RADIANS(A69))^cosn!$B$15</f>
        <v>0.48480962024633711</v>
      </c>
      <c r="D69">
        <f t="shared" si="3"/>
        <v>-1.8460064799219467E-5</v>
      </c>
      <c r="E69">
        <f t="shared" si="4"/>
        <v>0.99996192306417142</v>
      </c>
      <c r="F69">
        <v>-60.5</v>
      </c>
      <c r="G69">
        <f t="shared" si="2"/>
        <v>0.49242356010346711</v>
      </c>
      <c r="H69">
        <f t="shared" si="0"/>
        <v>0.24248096254497289</v>
      </c>
    </row>
    <row r="70" spans="1:8" x14ac:dyDescent="0.3">
      <c r="A70">
        <v>-60</v>
      </c>
      <c r="B70" s="3">
        <f t="shared" si="1"/>
        <v>0.49998096153208449</v>
      </c>
      <c r="C70">
        <f>COS(RADIANS(A70))^cosn!$B$15</f>
        <v>0.50000000000000011</v>
      </c>
      <c r="D70">
        <f t="shared" si="3"/>
        <v>-1.9038467915621915E-5</v>
      </c>
      <c r="E70">
        <f t="shared" si="4"/>
        <v>0.99996192306416876</v>
      </c>
      <c r="F70">
        <v>-59.5</v>
      </c>
      <c r="G70">
        <f t="shared" si="2"/>
        <v>0.5075383629607042</v>
      </c>
      <c r="H70">
        <f t="shared" si="0"/>
        <v>0.2575951898768315</v>
      </c>
    </row>
    <row r="71" spans="1:8" x14ac:dyDescent="0.3">
      <c r="A71">
        <v>-59</v>
      </c>
      <c r="B71" s="3">
        <f t="shared" si="1"/>
        <v>0.51501846383832639</v>
      </c>
      <c r="C71">
        <f>COS(RADIANS(A71))^cosn!$B$15</f>
        <v>0.51503807491005416</v>
      </c>
      <c r="D71">
        <f t="shared" si="3"/>
        <v>-1.9611071727765328E-5</v>
      </c>
      <c r="E71">
        <f t="shared" si="4"/>
        <v>0.9999619230641712</v>
      </c>
      <c r="F71">
        <v>-58.5</v>
      </c>
      <c r="G71">
        <f t="shared" si="2"/>
        <v>0.52249856471594891</v>
      </c>
      <c r="H71">
        <f t="shared" ref="H71:H102" si="5">G71^($H$36+1)</f>
        <v>0.27300475013022663</v>
      </c>
    </row>
    <row r="72" spans="1:8" x14ac:dyDescent="0.3">
      <c r="A72">
        <v>-58</v>
      </c>
      <c r="B72" s="3">
        <f t="shared" ref="B72:B103" si="6">(H72-H71)/(($H$36+1)*(G72-G71))</f>
        <v>0.52989908653138795</v>
      </c>
      <c r="C72">
        <f>COS(RADIANS(A72))^cosn!$B$15</f>
        <v>0.5299192642332049</v>
      </c>
      <c r="D72">
        <f t="shared" si="3"/>
        <v>-2.0177701816948002E-5</v>
      </c>
      <c r="E72">
        <f t="shared" si="4"/>
        <v>0.99996192306417442</v>
      </c>
      <c r="F72">
        <v>-57.5</v>
      </c>
      <c r="G72">
        <f t="shared" si="2"/>
        <v>0.53729960834682389</v>
      </c>
      <c r="H72">
        <f t="shared" si="5"/>
        <v>0.28869086912965036</v>
      </c>
    </row>
    <row r="73" spans="1:8" x14ac:dyDescent="0.3">
      <c r="A73">
        <v>-57</v>
      </c>
      <c r="B73" s="3">
        <f t="shared" si="6"/>
        <v>0.54461829682944007</v>
      </c>
      <c r="C73">
        <f>COS(RADIANS(A73))^cosn!$B$15</f>
        <v>0.54463903501502708</v>
      </c>
      <c r="D73">
        <f t="shared" si="3"/>
        <v>-2.0738185587010349E-5</v>
      </c>
      <c r="E73">
        <f t="shared" si="4"/>
        <v>0.99996192306416953</v>
      </c>
      <c r="F73">
        <v>-56.5</v>
      </c>
      <c r="G73">
        <f t="shared" si="2"/>
        <v>0.55193698531205815</v>
      </c>
      <c r="H73">
        <f t="shared" si="5"/>
        <v>0.30463443575536309</v>
      </c>
    </row>
    <row r="74" spans="1:8" x14ac:dyDescent="0.3">
      <c r="A74">
        <v>-56</v>
      </c>
      <c r="B74" s="3">
        <f t="shared" si="6"/>
        <v>0.55917161111844593</v>
      </c>
      <c r="C74">
        <f>COS(RADIANS(A74))^cosn!$B$15</f>
        <v>0.55919290347074679</v>
      </c>
      <c r="D74">
        <f t="shared" si="3"/>
        <v>-2.1292352300861239E-5</v>
      </c>
      <c r="E74">
        <f t="shared" si="4"/>
        <v>0.99996192306417209</v>
      </c>
      <c r="F74">
        <v>-55.5</v>
      </c>
      <c r="G74">
        <f t="shared" si="2"/>
        <v>0.56640623692483283</v>
      </c>
      <c r="H74">
        <f t="shared" si="5"/>
        <v>0.32081602522734987</v>
      </c>
    </row>
    <row r="75" spans="1:8" x14ac:dyDescent="0.3">
      <c r="A75">
        <v>-55</v>
      </c>
      <c r="B75" s="3">
        <f t="shared" si="6"/>
        <v>0.57355459631788708</v>
      </c>
      <c r="C75">
        <f>COS(RADIANS(A75))^cosn!$B$15</f>
        <v>0.57357643635104616</v>
      </c>
      <c r="D75">
        <f t="shared" si="3"/>
        <v>-2.1840033159081784E-5</v>
      </c>
      <c r="E75">
        <f t="shared" si="4"/>
        <v>0.99996192306417253</v>
      </c>
      <c r="F75">
        <v>-54.5</v>
      </c>
      <c r="G75">
        <f t="shared" si="2"/>
        <v>0.58070295571093977</v>
      </c>
      <c r="H75">
        <f t="shared" si="5"/>
        <v>0.33721592277142171</v>
      </c>
    </row>
    <row r="76" spans="1:8" x14ac:dyDescent="0.3">
      <c r="A76">
        <v>-54</v>
      </c>
      <c r="B76" s="3">
        <f t="shared" si="6"/>
        <v>0.58776287123113946</v>
      </c>
      <c r="C76">
        <f>COS(RADIANS(A76))^cosn!$B$15</f>
        <v>0.58778525229247314</v>
      </c>
      <c r="D76">
        <f t="shared" si="3"/>
        <v>-2.2381061333676122E-5</v>
      </c>
      <c r="E76">
        <f t="shared" si="4"/>
        <v>0.99996192306416942</v>
      </c>
      <c r="F76">
        <v>-53.5</v>
      </c>
      <c r="G76">
        <f t="shared" si="2"/>
        <v>0.59482278675134137</v>
      </c>
      <c r="H76">
        <f t="shared" si="5"/>
        <v>0.35381414763863173</v>
      </c>
    </row>
    <row r="77" spans="1:8" x14ac:dyDescent="0.3">
      <c r="A77">
        <v>-53</v>
      </c>
      <c r="B77" s="3">
        <f t="shared" si="6"/>
        <v>0.6017921078800309</v>
      </c>
      <c r="C77">
        <f>COS(RADIANS(A77))^cosn!$B$15</f>
        <v>0.60181502315204838</v>
      </c>
      <c r="D77">
        <f t="shared" si="3"/>
        <v>-2.291527201747634E-5</v>
      </c>
      <c r="E77">
        <f t="shared" si="4"/>
        <v>0.99996192306417098</v>
      </c>
      <c r="F77">
        <v>-52.5</v>
      </c>
      <c r="G77">
        <f t="shared" si="2"/>
        <v>0.60876142900872066</v>
      </c>
      <c r="H77">
        <f t="shared" si="5"/>
        <v>0.37059047744873963</v>
      </c>
    </row>
    <row r="78" spans="1:8" x14ac:dyDescent="0.3">
      <c r="A78">
        <v>-52</v>
      </c>
      <c r="B78" s="3">
        <f t="shared" si="6"/>
        <v>0.61563803282317009</v>
      </c>
      <c r="C78">
        <f>COS(RADIANS(A78))^cosn!$B$15</f>
        <v>0.61566147532565829</v>
      </c>
      <c r="D78">
        <f t="shared" si="3"/>
        <v>-2.3442502488202344E-5</v>
      </c>
      <c r="E78">
        <f t="shared" si="4"/>
        <v>0.99996192306417131</v>
      </c>
      <c r="F78">
        <v>-51.5</v>
      </c>
      <c r="G78">
        <f t="shared" si="2"/>
        <v>0.62251463663761952</v>
      </c>
      <c r="H78">
        <f t="shared" si="5"/>
        <v>0.38752447282806746</v>
      </c>
    </row>
    <row r="79" spans="1:8" x14ac:dyDescent="0.3">
      <c r="A79">
        <v>-51</v>
      </c>
      <c r="B79" s="3">
        <f t="shared" si="6"/>
        <v>0.62929642845769163</v>
      </c>
      <c r="C79">
        <f>COS(RADIANS(A79))^cosn!$B$15</f>
        <v>0.6293203910498375</v>
      </c>
      <c r="D79">
        <f t="shared" si="3"/>
        <v>-2.3962592145876371E-5</v>
      </c>
      <c r="E79">
        <f t="shared" si="4"/>
        <v>0.99996192306417098</v>
      </c>
      <c r="F79">
        <v>-50.5</v>
      </c>
      <c r="G79">
        <f t="shared" si="2"/>
        <v>0.63607822027776395</v>
      </c>
      <c r="H79">
        <f t="shared" si="5"/>
        <v>0.40459550231172758</v>
      </c>
    </row>
    <row r="80" spans="1:8" x14ac:dyDescent="0.3">
      <c r="A80">
        <v>-50</v>
      </c>
      <c r="B80" s="3">
        <f t="shared" si="6"/>
        <v>0.64276313430397469</v>
      </c>
      <c r="C80">
        <f>COS(RADIANS(A80))^cosn!$B$15</f>
        <v>0.64278760968653936</v>
      </c>
      <c r="D80">
        <f t="shared" si="3"/>
        <v>-2.4475382564670412E-5</v>
      </c>
      <c r="E80">
        <f t="shared" si="4"/>
        <v>0.99996192306417264</v>
      </c>
      <c r="F80">
        <v>-49.5</v>
      </c>
      <c r="G80">
        <f t="shared" si="2"/>
        <v>0.64944804833018366</v>
      </c>
      <c r="H80">
        <f t="shared" si="5"/>
        <v>0.42178276747988458</v>
      </c>
    </row>
    <row r="81" spans="1:8" x14ac:dyDescent="0.3">
      <c r="A81">
        <v>-49</v>
      </c>
      <c r="B81" s="3">
        <f t="shared" si="6"/>
        <v>0.65603404827295986</v>
      </c>
      <c r="C81">
        <f>COS(RADIANS(A81))^cosn!$B$15</f>
        <v>0.65605902899050728</v>
      </c>
      <c r="D81">
        <f t="shared" si="3"/>
        <v>-2.4980717547418152E-5</v>
      </c>
      <c r="E81">
        <f t="shared" si="4"/>
        <v>0.9999619230641702</v>
      </c>
      <c r="F81">
        <v>-48.5</v>
      </c>
      <c r="G81">
        <f t="shared" si="2"/>
        <v>0.6626200482157375</v>
      </c>
      <c r="H81">
        <f t="shared" si="5"/>
        <v>0.43906532829742628</v>
      </c>
    </row>
    <row r="82" spans="1:8" x14ac:dyDescent="0.3">
      <c r="A82">
        <v>-48</v>
      </c>
      <c r="B82" s="3">
        <f t="shared" si="6"/>
        <v>0.66910512791569987</v>
      </c>
      <c r="C82">
        <f>COS(RADIANS(A82))^cosn!$B$15</f>
        <v>0.66913060635885824</v>
      </c>
      <c r="D82">
        <f t="shared" si="3"/>
        <v>-2.5478443158366559E-5</v>
      </c>
      <c r="E82">
        <f t="shared" si="4"/>
        <v>0.99996192306417275</v>
      </c>
      <c r="F82">
        <v>-47.5</v>
      </c>
      <c r="G82">
        <f t="shared" si="2"/>
        <v>0.67559020761566024</v>
      </c>
      <c r="H82">
        <f t="shared" si="5"/>
        <v>0.45642212862617093</v>
      </c>
    </row>
    <row r="83" spans="1:8" x14ac:dyDescent="0.3">
      <c r="A83">
        <v>-47</v>
      </c>
      <c r="B83" s="3">
        <f t="shared" si="6"/>
        <v>0.68197239165470613</v>
      </c>
      <c r="C83">
        <f>COS(RADIANS(A83))^cosn!$B$15</f>
        <v>0.68199836006249848</v>
      </c>
      <c r="D83">
        <f t="shared" si="3"/>
        <v>-2.5968407792342774E-5</v>
      </c>
      <c r="E83">
        <f t="shared" si="4"/>
        <v>0.99996192306416987</v>
      </c>
      <c r="F83">
        <v>-46.5</v>
      </c>
      <c r="G83">
        <f t="shared" si="2"/>
        <v>0.68835457569375402</v>
      </c>
      <c r="H83">
        <f t="shared" si="5"/>
        <v>0.47383202187852813</v>
      </c>
    </row>
    <row r="84" spans="1:8" x14ac:dyDescent="0.3">
      <c r="A84">
        <v>-46</v>
      </c>
      <c r="B84" s="3">
        <f t="shared" si="6"/>
        <v>0.69463191999680263</v>
      </c>
      <c r="C84">
        <f>COS(RADIANS(A84))^cosn!$B$15</f>
        <v>0.69465837045899725</v>
      </c>
      <c r="D84">
        <f t="shared" si="3"/>
        <v>-2.64504621946271E-5</v>
      </c>
      <c r="E84">
        <f t="shared" si="4"/>
        <v>0.99996192306417164</v>
      </c>
      <c r="F84">
        <v>-45.5</v>
      </c>
      <c r="G84">
        <f t="shared" si="2"/>
        <v>0.7009092642998509</v>
      </c>
      <c r="H84">
        <f t="shared" si="5"/>
        <v>0.49127379678135824</v>
      </c>
    </row>
    <row r="85" spans="1:8" x14ac:dyDescent="0.3">
      <c r="A85">
        <v>-45</v>
      </c>
      <c r="B85" s="3">
        <f t="shared" si="6"/>
        <v>0.70707985672701468</v>
      </c>
      <c r="C85">
        <f>COS(RADIANS(A85))^cosn!$B$15</f>
        <v>0.70710678118654757</v>
      </c>
      <c r="D85">
        <f t="shared" si="3"/>
        <v>-2.6924459532895462E-5</v>
      </c>
      <c r="E85">
        <f t="shared" si="4"/>
        <v>0.99996192306416898</v>
      </c>
      <c r="F85">
        <v>-44.5</v>
      </c>
      <c r="G85">
        <f t="shared" si="2"/>
        <v>0.71325044915418156</v>
      </c>
      <c r="H85">
        <f t="shared" si="5"/>
        <v>0.5087262032186417</v>
      </c>
    </row>
    <row r="86" spans="1:8" x14ac:dyDescent="0.3">
      <c r="A86">
        <v>-44</v>
      </c>
      <c r="B86" s="3">
        <f t="shared" si="6"/>
        <v>0.71931241008323454</v>
      </c>
      <c r="C86">
        <f>COS(RADIANS(A86))^cosn!$B$15</f>
        <v>0.71933980033865119</v>
      </c>
      <c r="D86">
        <f t="shared" si="3"/>
        <v>-2.7390255416648301E-5</v>
      </c>
      <c r="E86">
        <f t="shared" si="4"/>
        <v>0.99996192306417109</v>
      </c>
      <c r="F86">
        <v>-43.5</v>
      </c>
      <c r="G86">
        <f t="shared" si="2"/>
        <v>0.72537437101228763</v>
      </c>
      <c r="H86">
        <f t="shared" si="5"/>
        <v>0.52616797812147187</v>
      </c>
    </row>
    <row r="87" spans="1:8" x14ac:dyDescent="0.3">
      <c r="A87">
        <v>-43</v>
      </c>
      <c r="B87" s="3">
        <f t="shared" si="6"/>
        <v>0.7313258539112063</v>
      </c>
      <c r="C87">
        <f>COS(RADIANS(A87))^cosn!$B$15</f>
        <v>0.73135370161917046</v>
      </c>
      <c r="D87">
        <f t="shared" si="3"/>
        <v>-2.7847707964157031E-5</v>
      </c>
      <c r="E87">
        <f t="shared" si="4"/>
        <v>0.99996192306417198</v>
      </c>
      <c r="F87">
        <v>-42.5</v>
      </c>
      <c r="G87">
        <f t="shared" si="2"/>
        <v>0.73727733681012397</v>
      </c>
      <c r="H87">
        <f t="shared" si="5"/>
        <v>0.54357787137382896</v>
      </c>
    </row>
    <row r="88" spans="1:8" x14ac:dyDescent="0.3">
      <c r="A88">
        <v>-42</v>
      </c>
      <c r="B88" s="3">
        <f t="shared" si="6"/>
        <v>0.74311652879956525</v>
      </c>
      <c r="C88">
        <f>COS(RADIANS(A88))^cosn!$B$15</f>
        <v>0.74314482547739424</v>
      </c>
      <c r="D88">
        <f t="shared" si="3"/>
        <v>-2.8296677828998362E-5</v>
      </c>
      <c r="E88">
        <f t="shared" si="4"/>
        <v>0.9999619230641742</v>
      </c>
      <c r="F88">
        <v>-41.5</v>
      </c>
      <c r="G88">
        <f t="shared" si="2"/>
        <v>0.74895572078900219</v>
      </c>
      <c r="H88">
        <f t="shared" si="5"/>
        <v>0.56093467170257383</v>
      </c>
    </row>
    <row r="89" spans="1:8" x14ac:dyDescent="0.3">
      <c r="A89">
        <v>-41</v>
      </c>
      <c r="B89" s="3">
        <f t="shared" si="6"/>
        <v>0.75468084319451789</v>
      </c>
      <c r="C89">
        <f>COS(RADIANS(A89))^cosn!$B$15</f>
        <v>0.75470958022277201</v>
      </c>
      <c r="D89">
        <f t="shared" si="3"/>
        <v>-2.8737028254122166E-5</v>
      </c>
      <c r="E89">
        <f t="shared" si="4"/>
        <v>0.99996192306417309</v>
      </c>
      <c r="F89">
        <v>-40.5</v>
      </c>
      <c r="G89">
        <f t="shared" si="2"/>
        <v>0.76040596560003093</v>
      </c>
      <c r="H89">
        <f t="shared" si="5"/>
        <v>0.57821723252011548</v>
      </c>
    </row>
    <row r="90" spans="1:8" x14ac:dyDescent="0.3">
      <c r="A90">
        <v>-40</v>
      </c>
      <c r="B90" s="3">
        <f t="shared" si="6"/>
        <v>0.76601527449387152</v>
      </c>
      <c r="C90">
        <f>COS(RADIANS(A90))^cosn!$B$15</f>
        <v>0.76604444311897801</v>
      </c>
      <c r="D90">
        <f t="shared" si="3"/>
        <v>-2.9168625106490431E-5</v>
      </c>
      <c r="E90">
        <f t="shared" si="4"/>
        <v>0.9999619230641662</v>
      </c>
      <c r="F90">
        <v>-39.5</v>
      </c>
      <c r="G90">
        <f t="shared" si="2"/>
        <v>0.77162458338772</v>
      </c>
      <c r="H90">
        <f t="shared" si="5"/>
        <v>0.59540449768827242</v>
      </c>
    </row>
    <row r="91" spans="1:8" x14ac:dyDescent="0.3">
      <c r="A91">
        <v>-39</v>
      </c>
      <c r="B91" s="3">
        <f t="shared" si="6"/>
        <v>0.7771163701200704</v>
      </c>
      <c r="C91">
        <f>COS(RADIANS(A91))^cosn!$B$15</f>
        <v>0.7771459614569709</v>
      </c>
      <c r="D91">
        <f t="shared" si="3"/>
        <v>-2.9591336900502974E-5</v>
      </c>
      <c r="E91">
        <f t="shared" si="4"/>
        <v>0.99996192306417575</v>
      </c>
      <c r="F91">
        <v>-38.5</v>
      </c>
      <c r="G91">
        <f t="shared" si="2"/>
        <v>0.78260815685241392</v>
      </c>
      <c r="H91">
        <f t="shared" si="5"/>
        <v>0.61247552717193254</v>
      </c>
    </row>
    <row r="92" spans="1:8" x14ac:dyDescent="0.3">
      <c r="A92">
        <v>-38</v>
      </c>
      <c r="B92" s="3">
        <f t="shared" si="6"/>
        <v>0.7879807485718221</v>
      </c>
      <c r="C92">
        <f>COS(RADIANS(A92))^cosn!$B$15</f>
        <v>0.7880107536067219</v>
      </c>
      <c r="D92">
        <f t="shared" si="3"/>
        <v>-3.0005034899804883E-5</v>
      </c>
      <c r="E92">
        <f t="shared" si="4"/>
        <v>0.99996192306416831</v>
      </c>
      <c r="F92">
        <v>-37.5</v>
      </c>
      <c r="G92">
        <f t="shared" si="2"/>
        <v>0.79335334029123517</v>
      </c>
      <c r="H92">
        <f t="shared" si="5"/>
        <v>0.62940952255126037</v>
      </c>
    </row>
    <row r="93" spans="1:8" x14ac:dyDescent="0.3">
      <c r="A93">
        <v>-37</v>
      </c>
      <c r="B93" s="3">
        <f t="shared" si="6"/>
        <v>0.79860510045422572</v>
      </c>
      <c r="C93">
        <f>COS(RADIANS(A93))^cosn!$B$15</f>
        <v>0.79863551004729283</v>
      </c>
      <c r="D93">
        <f t="shared" si="3"/>
        <v>-3.0409593067104446E-5</v>
      </c>
      <c r="E93">
        <f t="shared" si="4"/>
        <v>0.99996192306417064</v>
      </c>
      <c r="F93">
        <v>-36.5</v>
      </c>
      <c r="G93">
        <f t="shared" si="2"/>
        <v>0.80385686061721728</v>
      </c>
      <c r="H93">
        <f t="shared" si="5"/>
        <v>0.64618585236136827</v>
      </c>
    </row>
    <row r="94" spans="1:8" x14ac:dyDescent="0.3">
      <c r="A94">
        <v>-36</v>
      </c>
      <c r="B94" s="3">
        <f t="shared" si="6"/>
        <v>0.80898618948676881</v>
      </c>
      <c r="C94">
        <f>COS(RADIANS(A94))^cosn!$B$15</f>
        <v>0.80901699437494745</v>
      </c>
      <c r="D94">
        <f t="shared" si="3"/>
        <v>-3.0804888178637135E-5</v>
      </c>
      <c r="E94">
        <f t="shared" si="4"/>
        <v>0.99996192306417198</v>
      </c>
      <c r="F94">
        <v>-35.5</v>
      </c>
      <c r="G94">
        <f t="shared" si="2"/>
        <v>0.81411551835631923</v>
      </c>
      <c r="H94">
        <f t="shared" si="5"/>
        <v>0.66278407722857835</v>
      </c>
    </row>
    <row r="95" spans="1:8" x14ac:dyDescent="0.3">
      <c r="A95">
        <v>-35</v>
      </c>
      <c r="B95" s="3">
        <f t="shared" si="6"/>
        <v>0.81912085348917041</v>
      </c>
      <c r="C95">
        <f>COS(RADIANS(A95))^cosn!$B$15</f>
        <v>0.8191520442889918</v>
      </c>
      <c r="D95">
        <f t="shared" si="3"/>
        <v>-3.1190799821390058E-5</v>
      </c>
      <c r="E95">
        <f t="shared" si="4"/>
        <v>0.99996192306417486</v>
      </c>
      <c r="F95">
        <v>-34.5</v>
      </c>
      <c r="G95">
        <f t="shared" si="2"/>
        <v>0.8241261886220157</v>
      </c>
      <c r="H95">
        <f t="shared" si="5"/>
        <v>0.67918397477265025</v>
      </c>
    </row>
    <row r="96" spans="1:8" x14ac:dyDescent="0.3">
      <c r="A96">
        <v>-34</v>
      </c>
      <c r="B96" s="3">
        <f t="shared" si="6"/>
        <v>0.82900600534458879</v>
      </c>
      <c r="C96">
        <f>COS(RADIANS(A96))^cosn!$B$15</f>
        <v>0.82903757255504162</v>
      </c>
      <c r="D96">
        <f t="shared" si="3"/>
        <v>-3.1567210452831951E-5</v>
      </c>
      <c r="E96">
        <f t="shared" si="4"/>
        <v>0.99996192306416765</v>
      </c>
      <c r="F96">
        <v>-33.5</v>
      </c>
      <c r="G96">
        <f t="shared" si="2"/>
        <v>0.83388582206716821</v>
      </c>
      <c r="H96">
        <f t="shared" si="5"/>
        <v>0.69536556424463691</v>
      </c>
    </row>
    <row r="97" spans="1:8" x14ac:dyDescent="0.3">
      <c r="A97">
        <v>-33</v>
      </c>
      <c r="B97" s="3">
        <f t="shared" si="6"/>
        <v>0.83863863394002758</v>
      </c>
      <c r="C97">
        <f>COS(RADIANS(A97))^cosn!$B$15</f>
        <v>0.83867056794542405</v>
      </c>
      <c r="D97">
        <f t="shared" si="3"/>
        <v>-3.1934005396472287E-5</v>
      </c>
      <c r="E97">
        <f t="shared" si="4"/>
        <v>0.99996192306417198</v>
      </c>
      <c r="F97">
        <v>-32.5</v>
      </c>
      <c r="G97">
        <f t="shared" si="2"/>
        <v>0.84339144581288572</v>
      </c>
      <c r="H97">
        <f t="shared" si="5"/>
        <v>0.71130913087034975</v>
      </c>
    </row>
    <row r="98" spans="1:8" x14ac:dyDescent="0.3">
      <c r="A98">
        <v>-32</v>
      </c>
      <c r="B98" s="3">
        <f t="shared" si="6"/>
        <v>0.84801580508349195</v>
      </c>
      <c r="C98">
        <f>COS(RADIANS(A98))^cosn!$B$15</f>
        <v>0.84804809615642596</v>
      </c>
      <c r="D98">
        <f t="shared" si="3"/>
        <v>-3.229107293400979E-5</v>
      </c>
      <c r="E98">
        <f t="shared" si="4"/>
        <v>0.99996192306417486</v>
      </c>
      <c r="F98">
        <v>-31.5</v>
      </c>
      <c r="G98">
        <f t="shared" si="2"/>
        <v>0.85264016435409218</v>
      </c>
      <c r="H98">
        <f t="shared" si="5"/>
        <v>0.72699524986977337</v>
      </c>
    </row>
    <row r="99" spans="1:8" x14ac:dyDescent="0.3">
      <c r="A99">
        <v>-31</v>
      </c>
      <c r="B99" s="3">
        <f t="shared" si="6"/>
        <v>0.85713466239780434</v>
      </c>
      <c r="C99">
        <f>COS(RADIANS(A99))^cosn!$B$15</f>
        <v>0.85716730070211233</v>
      </c>
      <c r="D99">
        <f t="shared" si="3"/>
        <v>-3.2638304307996968E-5</v>
      </c>
      <c r="E99">
        <f t="shared" si="4"/>
        <v>0.99996192306416576</v>
      </c>
      <c r="F99">
        <v>-30.5</v>
      </c>
      <c r="G99">
        <f t="shared" si="2"/>
        <v>0.86162916044152582</v>
      </c>
      <c r="H99">
        <f t="shared" si="5"/>
        <v>0.74240481012316861</v>
      </c>
    </row>
    <row r="100" spans="1:8" x14ac:dyDescent="0.3">
      <c r="A100">
        <v>-30</v>
      </c>
      <c r="B100" s="3">
        <f t="shared" si="6"/>
        <v>0.86599242819071443</v>
      </c>
      <c r="C100">
        <f>COS(RADIANS(A100))^cosn!$B$15</f>
        <v>0.86602540378443871</v>
      </c>
      <c r="D100">
        <f t="shared" si="3"/>
        <v>-3.2975593724282604E-5</v>
      </c>
      <c r="E100">
        <f t="shared" si="4"/>
        <v>0.9999619230641732</v>
      </c>
      <c r="F100">
        <v>-29.5</v>
      </c>
      <c r="G100">
        <f t="shared" si="2"/>
        <v>0.8703556959398997</v>
      </c>
      <c r="H100">
        <f t="shared" si="5"/>
        <v>0.75751903745502713</v>
      </c>
    </row>
    <row r="101" spans="1:8" x14ac:dyDescent="0.3">
      <c r="A101">
        <v>-29</v>
      </c>
      <c r="B101" s="3">
        <f t="shared" si="6"/>
        <v>0.87458640430093515</v>
      </c>
      <c r="C101">
        <f>COS(RADIANS(A101))^cosn!$B$15</f>
        <v>0.87461970713939574</v>
      </c>
      <c r="D101">
        <f t="shared" si="3"/>
        <v>-3.3302838460591566E-5</v>
      </c>
      <c r="E101">
        <f t="shared" si="4"/>
        <v>0.99996192306417431</v>
      </c>
      <c r="F101">
        <v>-28.5</v>
      </c>
      <c r="G101">
        <f t="shared" si="2"/>
        <v>0.87881711266196538</v>
      </c>
      <c r="H101">
        <f t="shared" si="5"/>
        <v>0.7723195175075136</v>
      </c>
    </row>
    <row r="102" spans="1:8" x14ac:dyDescent="0.3">
      <c r="A102">
        <v>-28</v>
      </c>
      <c r="B102" s="3">
        <f t="shared" si="6"/>
        <v>0.88291397292008822</v>
      </c>
      <c r="C102">
        <f>COS(RADIANS(A102))^cosn!$B$15</f>
        <v>0.88294759285892699</v>
      </c>
      <c r="D102">
        <f t="shared" si="3"/>
        <v>-3.3619938838769237E-5</v>
      </c>
      <c r="E102">
        <f t="shared" si="4"/>
        <v>0.9999619230641652</v>
      </c>
      <c r="F102">
        <v>-27.5</v>
      </c>
      <c r="G102">
        <f t="shared" si="2"/>
        <v>0.88701083317822171</v>
      </c>
      <c r="H102">
        <f t="shared" si="5"/>
        <v>0.78678821817552302</v>
      </c>
    </row>
    <row r="103" spans="1:8" x14ac:dyDescent="0.3">
      <c r="A103">
        <v>-27</v>
      </c>
      <c r="B103" s="3">
        <f t="shared" si="6"/>
        <v>0.89097259739012713</v>
      </c>
      <c r="C103">
        <f>COS(RADIANS(A103))^cosn!$B$15</f>
        <v>0.8910065241883679</v>
      </c>
      <c r="D103">
        <f t="shared" si="3"/>
        <v>-3.3926798240768719E-5</v>
      </c>
      <c r="E103">
        <f t="shared" si="4"/>
        <v>0.99996192306417542</v>
      </c>
      <c r="F103">
        <v>-26.5</v>
      </c>
      <c r="G103">
        <f t="shared" si="2"/>
        <v>0.89493436160202511</v>
      </c>
      <c r="H103">
        <f t="shared" ref="H103:H134" si="7">G103^($H$36+1)</f>
        <v>0.80090751157602424</v>
      </c>
    </row>
    <row r="104" spans="1:8" x14ac:dyDescent="0.3">
      <c r="A104">
        <v>-26</v>
      </c>
      <c r="B104" s="3">
        <f t="shared" ref="B104:B130" si="8">(H104-H103)/(($H$36+1)*(G104-G103))</f>
        <v>0.89875982297594115</v>
      </c>
      <c r="C104">
        <f>COS(RADIANS(A104))^cosn!$B$15</f>
        <v>0.89879404629916704</v>
      </c>
      <c r="D104">
        <f t="shared" si="3"/>
        <v>-3.422332322589039E-5</v>
      </c>
      <c r="E104">
        <f t="shared" si="4"/>
        <v>0.99996192306416931</v>
      </c>
      <c r="F104">
        <v>-25.5</v>
      </c>
      <c r="G104">
        <f t="shared" ref="G104:G168" si="9">COS(RADIANS(F104))</f>
        <v>0.90258528434986063</v>
      </c>
      <c r="H104">
        <f t="shared" si="7"/>
        <v>0.81466019552491875</v>
      </c>
    </row>
    <row r="105" spans="1:8" x14ac:dyDescent="0.3">
      <c r="A105">
        <v>-25</v>
      </c>
      <c r="B105" s="3">
        <f t="shared" si="8"/>
        <v>0.90627327761320164</v>
      </c>
      <c r="C105">
        <f>COS(RADIANS(A105))^cosn!$B$15</f>
        <v>0.90630778703664994</v>
      </c>
      <c r="D105">
        <f t="shared" ref="D105:D168" si="10">+B105-C105</f>
        <v>-3.4509423448292331E-5</v>
      </c>
      <c r="E105">
        <f t="shared" ref="E105:E168" si="11">+B105/C105</f>
        <v>0.99996192306417098</v>
      </c>
      <c r="F105">
        <v>-24.5</v>
      </c>
      <c r="G105">
        <f t="shared" si="9"/>
        <v>0.90996127087654322</v>
      </c>
      <c r="H105">
        <f t="shared" si="7"/>
        <v>0.82802951449525364</v>
      </c>
    </row>
    <row r="106" spans="1:8" x14ac:dyDescent="0.3">
      <c r="A106">
        <v>-24</v>
      </c>
      <c r="B106" s="3">
        <f t="shared" si="8"/>
        <v>0.91351067263083807</v>
      </c>
      <c r="C106">
        <f>COS(RADIANS(A106))^cosn!$B$15</f>
        <v>0.91354545764260087</v>
      </c>
      <c r="D106">
        <f t="shared" si="10"/>
        <v>-3.4785011762794582E-5</v>
      </c>
      <c r="E106">
        <f t="shared" si="11"/>
        <v>0.99996192306417619</v>
      </c>
      <c r="F106">
        <v>-23.5</v>
      </c>
      <c r="G106">
        <f t="shared" si="9"/>
        <v>0.91706007438512405</v>
      </c>
      <c r="H106">
        <f t="shared" si="7"/>
        <v>0.84099918003124929</v>
      </c>
    </row>
    <row r="107" spans="1:8" x14ac:dyDescent="0.3">
      <c r="A107">
        <v>-23</v>
      </c>
      <c r="B107" s="3">
        <f t="shared" si="8"/>
        <v>0.92046980344820228</v>
      </c>
      <c r="C107">
        <f>COS(RADIANS(A107))^cosn!$B$15</f>
        <v>0.92050485345244037</v>
      </c>
      <c r="D107">
        <f t="shared" si="10"/>
        <v>-3.5050004238090793E-5</v>
      </c>
      <c r="E107">
        <f t="shared" si="11"/>
        <v>0.99996192306416787</v>
      </c>
      <c r="F107">
        <v>-22.5</v>
      </c>
      <c r="G107">
        <f t="shared" si="9"/>
        <v>0.92387953251128674</v>
      </c>
      <c r="H107">
        <f t="shared" si="7"/>
        <v>0.85355339059327373</v>
      </c>
    </row>
    <row r="108" spans="1:8" x14ac:dyDescent="0.3">
      <c r="A108">
        <v>-22</v>
      </c>
      <c r="B108" s="3">
        <f t="shared" si="8"/>
        <v>0.92714855024665721</v>
      </c>
      <c r="C108">
        <f>COS(RADIANS(A108))^cosn!$B$15</f>
        <v>0.92718385456678742</v>
      </c>
      <c r="D108">
        <f t="shared" si="10"/>
        <v>-3.5304320130213895E-5</v>
      </c>
      <c r="E108">
        <f t="shared" si="11"/>
        <v>0.99996192306417298</v>
      </c>
      <c r="F108">
        <v>-21.5</v>
      </c>
      <c r="G108">
        <f t="shared" si="9"/>
        <v>0.93041756798202457</v>
      </c>
      <c r="H108">
        <f t="shared" si="7"/>
        <v>0.86567685080958534</v>
      </c>
    </row>
    <row r="109" spans="1:8" x14ac:dyDescent="0.3">
      <c r="A109">
        <v>-21</v>
      </c>
      <c r="B109" s="3">
        <f t="shared" si="8"/>
        <v>0.93354487861521263</v>
      </c>
      <c r="C109">
        <f>COS(RADIANS(A109))^cosn!$B$15</f>
        <v>0.93358042649720174</v>
      </c>
      <c r="D109">
        <f t="shared" si="10"/>
        <v>-3.5547881989117514E-5</v>
      </c>
      <c r="E109">
        <f t="shared" si="11"/>
        <v>0.99996192306417298</v>
      </c>
      <c r="F109">
        <v>-20.5</v>
      </c>
      <c r="G109">
        <f t="shared" si="9"/>
        <v>0.93667218924839757</v>
      </c>
      <c r="H109">
        <f t="shared" si="7"/>
        <v>0.87735479011138595</v>
      </c>
    </row>
    <row r="110" spans="1:8" x14ac:dyDescent="0.3">
      <c r="A110">
        <v>-20</v>
      </c>
      <c r="B110" s="3">
        <f t="shared" si="8"/>
        <v>0.93965684017027995</v>
      </c>
      <c r="C110">
        <f>COS(RADIANS(A110))^cosn!$B$15</f>
        <v>0.93969262078590843</v>
      </c>
      <c r="D110">
        <f t="shared" si="10"/>
        <v>-3.5780615628477896E-5</v>
      </c>
      <c r="E110">
        <f t="shared" si="11"/>
        <v>0.99996192306416265</v>
      </c>
      <c r="F110">
        <v>-19.5</v>
      </c>
      <c r="G110">
        <f t="shared" si="9"/>
        <v>0.94264149109217843</v>
      </c>
      <c r="H110">
        <f t="shared" si="7"/>
        <v>0.88857298072848545</v>
      </c>
    </row>
    <row r="111" spans="1:8" x14ac:dyDescent="0.3">
      <c r="A111">
        <v>-19</v>
      </c>
      <c r="B111" s="3">
        <f t="shared" si="8"/>
        <v>0.94548257314919359</v>
      </c>
      <c r="C111">
        <f>COS(RADIANS(A111))^cosn!$B$15</f>
        <v>0.94551857559931685</v>
      </c>
      <c r="D111">
        <f t="shared" si="10"/>
        <v>-3.6002450123251428E-5</v>
      </c>
      <c r="E111">
        <f t="shared" si="11"/>
        <v>0.99996192306417631</v>
      </c>
      <c r="F111">
        <v>-18.5</v>
      </c>
      <c r="G111">
        <f t="shared" si="9"/>
        <v>0.94832365520619932</v>
      </c>
      <c r="H111">
        <f t="shared" si="7"/>
        <v>0.89931775502364641</v>
      </c>
    </row>
    <row r="112" spans="1:8" x14ac:dyDescent="0.3">
      <c r="A112">
        <v>-18</v>
      </c>
      <c r="B112" s="3">
        <f t="shared" si="8"/>
        <v>0.95102030297721685</v>
      </c>
      <c r="C112">
        <f>COS(RADIANS(A112))^cosn!$B$15</f>
        <v>0.95105651629515353</v>
      </c>
      <c r="D112">
        <f t="shared" si="10"/>
        <v>-3.6213317936684142E-5</v>
      </c>
      <c r="E112">
        <f t="shared" si="11"/>
        <v>0.9999619230641752</v>
      </c>
      <c r="F112">
        <v>-17.5</v>
      </c>
      <c r="G112">
        <f t="shared" si="9"/>
        <v>0.95371695074822693</v>
      </c>
      <c r="H112">
        <f t="shared" si="7"/>
        <v>0.90957602214449595</v>
      </c>
    </row>
    <row r="113" spans="1:8" x14ac:dyDescent="0.3">
      <c r="A113">
        <v>-17</v>
      </c>
      <c r="B113" s="3">
        <f t="shared" si="8"/>
        <v>0.95626834280820683</v>
      </c>
      <c r="C113">
        <f>COS(RADIANS(A113))^cosn!$B$15</f>
        <v>0.95630475596303544</v>
      </c>
      <c r="D113">
        <f t="shared" si="10"/>
        <v>-3.6413154828607297E-5</v>
      </c>
      <c r="E113">
        <f t="shared" si="11"/>
        <v>0.99996192306416809</v>
      </c>
      <c r="F113">
        <v>-16.5</v>
      </c>
      <c r="G113">
        <f t="shared" si="9"/>
        <v>0.95881973486819305</v>
      </c>
      <c r="H113">
        <f t="shared" si="7"/>
        <v>0.91933528397271203</v>
      </c>
    </row>
    <row r="114" spans="1:8" x14ac:dyDescent="0.3">
      <c r="A114">
        <v>-16</v>
      </c>
      <c r="B114" s="3">
        <f t="shared" si="8"/>
        <v>0.96122509403840639</v>
      </c>
      <c r="C114">
        <f>COS(RADIANS(A114))^cosn!$B$15</f>
        <v>0.96126169593831889</v>
      </c>
      <c r="D114">
        <f t="shared" si="10"/>
        <v>-3.6601899912502844E-5</v>
      </c>
      <c r="E114">
        <f t="shared" si="11"/>
        <v>0.99996192306416953</v>
      </c>
      <c r="F114">
        <v>-15.5</v>
      </c>
      <c r="G114">
        <f t="shared" si="9"/>
        <v>0.96363045320862295</v>
      </c>
      <c r="H114">
        <f t="shared" si="7"/>
        <v>0.92858365035105606</v>
      </c>
    </row>
    <row r="115" spans="1:8" x14ac:dyDescent="0.3">
      <c r="A115">
        <v>-15</v>
      </c>
      <c r="B115" s="3">
        <f t="shared" si="8"/>
        <v>0.96588904679336984</v>
      </c>
      <c r="C115">
        <f>COS(RADIANS(A115))^cosn!$B$15</f>
        <v>0.96592582628906831</v>
      </c>
      <c r="D115">
        <f t="shared" si="10"/>
        <v>-3.6779495698469056E-5</v>
      </c>
      <c r="E115">
        <f t="shared" si="11"/>
        <v>0.99996192306417586</v>
      </c>
      <c r="F115">
        <v>-14.5</v>
      </c>
      <c r="G115">
        <f t="shared" si="9"/>
        <v>0.96814764037810774</v>
      </c>
      <c r="H115">
        <f t="shared" si="7"/>
        <v>0.93730985356969787</v>
      </c>
    </row>
    <row r="116" spans="1:8" x14ac:dyDescent="0.3">
      <c r="A116">
        <v>-14</v>
      </c>
      <c r="B116" s="3">
        <f t="shared" si="8"/>
        <v>0.97025878038789426</v>
      </c>
      <c r="C116">
        <f>COS(RADIANS(A116))^cosn!$B$15</f>
        <v>0.97029572627599647</v>
      </c>
      <c r="D116">
        <f t="shared" si="10"/>
        <v>-3.6945888102213331E-5</v>
      </c>
      <c r="E116">
        <f t="shared" si="11"/>
        <v>0.99996192306417342</v>
      </c>
      <c r="F116">
        <v>-13.5</v>
      </c>
      <c r="G116">
        <f t="shared" si="9"/>
        <v>0.97236992039767656</v>
      </c>
      <c r="H116">
        <f t="shared" si="7"/>
        <v>0.94550326209418389</v>
      </c>
    </row>
    <row r="117" spans="1:8" x14ac:dyDescent="0.3">
      <c r="A117">
        <v>-13</v>
      </c>
      <c r="B117" s="3">
        <f t="shared" si="8"/>
        <v>0.97433296375880496</v>
      </c>
      <c r="C117">
        <f>COS(RADIANS(A117))^cosn!$B$15</f>
        <v>0.97437006478523525</v>
      </c>
      <c r="D117">
        <f t="shared" si="10"/>
        <v>-3.7101026430286232E-5</v>
      </c>
      <c r="E117">
        <f t="shared" si="11"/>
        <v>0.9999619230641712</v>
      </c>
      <c r="F117">
        <v>-12.5</v>
      </c>
      <c r="G117">
        <f t="shared" si="9"/>
        <v>0.97629600711993336</v>
      </c>
      <c r="H117">
        <f t="shared" si="7"/>
        <v>0.95315389351832502</v>
      </c>
    </row>
    <row r="118" spans="1:8" x14ac:dyDescent="0.3">
      <c r="A118">
        <v>-12</v>
      </c>
      <c r="B118" s="3">
        <f t="shared" si="8"/>
        <v>0.97811035587037631</v>
      </c>
      <c r="C118">
        <f>COS(RADIANS(A118))^cosn!$B$15</f>
        <v>0.97814760073380569</v>
      </c>
      <c r="D118">
        <f t="shared" si="10"/>
        <v>-3.7244863429375386E-5</v>
      </c>
      <c r="E118">
        <f t="shared" si="11"/>
        <v>0.99996192306416598</v>
      </c>
      <c r="F118">
        <v>-11.5</v>
      </c>
      <c r="G118">
        <f t="shared" si="9"/>
        <v>0.97992470462082959</v>
      </c>
      <c r="H118">
        <f t="shared" si="7"/>
        <v>0.96025242672622013</v>
      </c>
    </row>
    <row r="119" spans="1:8" x14ac:dyDescent="0.3">
      <c r="A119">
        <v>-11</v>
      </c>
      <c r="B119" s="3">
        <f t="shared" si="8"/>
        <v>0.98158980609238877</v>
      </c>
      <c r="C119">
        <f>COS(RADIANS(A119))^cosn!$B$15</f>
        <v>0.98162718344766398</v>
      </c>
      <c r="D119">
        <f t="shared" si="10"/>
        <v>-3.737735527520325E-5</v>
      </c>
      <c r="E119">
        <f t="shared" si="11"/>
        <v>0.99996192306416787</v>
      </c>
      <c r="F119">
        <v>-10.5</v>
      </c>
      <c r="G119">
        <f t="shared" si="9"/>
        <v>0.98325490756395462</v>
      </c>
      <c r="H119">
        <f t="shared" si="7"/>
        <v>0.96679021324860093</v>
      </c>
    </row>
    <row r="120" spans="1:8" x14ac:dyDescent="0.3">
      <c r="A120">
        <v>-10</v>
      </c>
      <c r="B120" s="3">
        <f t="shared" si="8"/>
        <v>0.98477025455059708</v>
      </c>
      <c r="C120">
        <f>COS(RADIANS(A120))^cosn!$B$15</f>
        <v>0.98480775301220802</v>
      </c>
      <c r="D120">
        <f t="shared" si="10"/>
        <v>-3.7498461610940836E-5</v>
      </c>
      <c r="E120">
        <f t="shared" si="11"/>
        <v>0.99996192306417553</v>
      </c>
      <c r="F120">
        <v>-9.5</v>
      </c>
      <c r="G120">
        <f t="shared" si="9"/>
        <v>0.98628560153723144</v>
      </c>
      <c r="H120">
        <f t="shared" si="7"/>
        <v>0.97275928779965848</v>
      </c>
    </row>
    <row r="121" spans="1:8" x14ac:dyDescent="0.3">
      <c r="A121">
        <v>-9</v>
      </c>
      <c r="B121" s="3">
        <f t="shared" si="8"/>
        <v>0.98765073244957924</v>
      </c>
      <c r="C121">
        <f>COS(RADIANS(A121))^cosn!$B$15</f>
        <v>0.98768834059513777</v>
      </c>
      <c r="D121">
        <f t="shared" si="10"/>
        <v>-3.760814555853198E-5</v>
      </c>
      <c r="E121">
        <f t="shared" si="11"/>
        <v>0.99996192306417642</v>
      </c>
      <c r="F121">
        <v>-8.5</v>
      </c>
      <c r="G121">
        <f t="shared" si="9"/>
        <v>0.98901586336191682</v>
      </c>
      <c r="H121">
        <f t="shared" si="7"/>
        <v>0.97815237798151777</v>
      </c>
    </row>
    <row r="122" spans="1:8" x14ac:dyDescent="0.3">
      <c r="A122">
        <v>-8</v>
      </c>
      <c r="B122" s="3">
        <f t="shared" si="8"/>
        <v>0.99023036236785789</v>
      </c>
      <c r="C122">
        <f>COS(RADIANS(A122))^cosn!$B$15</f>
        <v>0.99026806874157036</v>
      </c>
      <c r="D122">
        <f t="shared" si="10"/>
        <v>-3.7706373712476093E-5</v>
      </c>
      <c r="E122">
        <f t="shared" si="11"/>
        <v>0.99996192306416543</v>
      </c>
      <c r="F122">
        <v>-7.5</v>
      </c>
      <c r="G122">
        <f t="shared" si="9"/>
        <v>0.99144486137381038</v>
      </c>
      <c r="H122">
        <f t="shared" si="7"/>
        <v>0.9829629131445341</v>
      </c>
    </row>
    <row r="123" spans="1:8" x14ac:dyDescent="0.3">
      <c r="A123">
        <v>-7</v>
      </c>
      <c r="B123" s="3">
        <f t="shared" si="8"/>
        <v>0.99250835852520336</v>
      </c>
      <c r="C123">
        <f>COS(RADIANS(A123))^cosn!$B$15</f>
        <v>0.99254615164132198</v>
      </c>
      <c r="D123">
        <f t="shared" si="10"/>
        <v>-3.7793116118622905E-5</v>
      </c>
      <c r="E123">
        <f t="shared" si="11"/>
        <v>0.99996192306417575</v>
      </c>
      <c r="F123">
        <v>-6.5</v>
      </c>
      <c r="G123">
        <f t="shared" si="9"/>
        <v>0.99357185567658746</v>
      </c>
      <c r="H123">
        <f t="shared" si="7"/>
        <v>0.98718503239261757</v>
      </c>
    </row>
    <row r="124" spans="1:8" x14ac:dyDescent="0.3">
      <c r="A124">
        <v>-6</v>
      </c>
      <c r="B124" s="3">
        <f t="shared" si="8"/>
        <v>0.99448402702188132</v>
      </c>
      <c r="C124">
        <f>COS(RADIANS(A124))^cosn!$B$15</f>
        <v>0.99452189536827329</v>
      </c>
      <c r="D124">
        <f t="shared" si="10"/>
        <v>-3.7868346391967123E-5</v>
      </c>
      <c r="E124">
        <f t="shared" si="11"/>
        <v>0.99996192306416953</v>
      </c>
      <c r="F124">
        <v>-5.5</v>
      </c>
      <c r="G124">
        <f t="shared" si="9"/>
        <v>0.99539619836717885</v>
      </c>
      <c r="H124">
        <f t="shared" si="7"/>
        <v>0.9908135917238321</v>
      </c>
    </row>
    <row r="125" spans="1:8" x14ac:dyDescent="0.3">
      <c r="A125">
        <v>-5</v>
      </c>
      <c r="B125" s="3">
        <f t="shared" si="8"/>
        <v>0.9961567660501599</v>
      </c>
      <c r="C125">
        <f>COS(RADIANS(A125))^cosn!$B$15</f>
        <v>0.99619469809174555</v>
      </c>
      <c r="D125">
        <f t="shared" si="10"/>
        <v>-3.7932041585642118E-5</v>
      </c>
      <c r="E125">
        <f t="shared" si="11"/>
        <v>0.99996192306417786</v>
      </c>
      <c r="F125">
        <v>-4.5</v>
      </c>
      <c r="G125">
        <f t="shared" si="9"/>
        <v>0.99691733373312796</v>
      </c>
      <c r="H125">
        <f t="shared" si="7"/>
        <v>0.99384417029756889</v>
      </c>
    </row>
    <row r="126" spans="1:8" x14ac:dyDescent="0.3">
      <c r="A126">
        <v>-4</v>
      </c>
      <c r="B126" s="3">
        <f t="shared" si="8"/>
        <v>0.99752606607748884</v>
      </c>
      <c r="C126">
        <f>COS(RADIANS(A126))^cosn!$B$15</f>
        <v>0.9975640502598242</v>
      </c>
      <c r="D126">
        <f t="shared" si="10"/>
        <v>-3.7984182335359939E-5</v>
      </c>
      <c r="E126">
        <f t="shared" si="11"/>
        <v>0.99996192306416265</v>
      </c>
      <c r="F126">
        <v>-3.5</v>
      </c>
      <c r="G126">
        <f t="shared" si="9"/>
        <v>0.99813479842186692</v>
      </c>
      <c r="H126">
        <f t="shared" si="7"/>
        <v>0.99627307582066094</v>
      </c>
    </row>
    <row r="127" spans="1:8" x14ac:dyDescent="0.3">
      <c r="A127">
        <v>-3</v>
      </c>
      <c r="B127" s="3">
        <f t="shared" si="8"/>
        <v>0.99859151000187329</v>
      </c>
      <c r="C127">
        <f>COS(RADIANS(A127))^cosn!$B$15</f>
        <v>0.99862953475457383</v>
      </c>
      <c r="D127">
        <f t="shared" si="10"/>
        <v>-3.80247527005384E-5</v>
      </c>
      <c r="E127">
        <f t="shared" si="11"/>
        <v>0.9999619230641823</v>
      </c>
      <c r="F127">
        <v>-2.5</v>
      </c>
      <c r="G127">
        <f t="shared" si="9"/>
        <v>0.9990482215818578</v>
      </c>
      <c r="H127">
        <f t="shared" si="7"/>
        <v>0.99809734904587288</v>
      </c>
    </row>
    <row r="128" spans="1:8" x14ac:dyDescent="0.3">
      <c r="A128">
        <v>-2</v>
      </c>
      <c r="B128" s="3">
        <f t="shared" si="8"/>
        <v>0.99935277327864069</v>
      </c>
      <c r="C128">
        <f>COS(RADIANS(A128))^cosn!$B$15</f>
        <v>0.99939082701909576</v>
      </c>
      <c r="D128">
        <f t="shared" si="10"/>
        <v>-3.8053740455068485E-5</v>
      </c>
      <c r="E128">
        <f t="shared" si="11"/>
        <v>0.99996192306410436</v>
      </c>
      <c r="F128">
        <v>-1.5</v>
      </c>
      <c r="G128">
        <f t="shared" si="9"/>
        <v>0.99965732497555726</v>
      </c>
      <c r="H128">
        <f t="shared" si="7"/>
        <v>0.99931476737728686</v>
      </c>
    </row>
    <row r="129" spans="1:8" x14ac:dyDescent="0.3">
      <c r="A129">
        <v>-1</v>
      </c>
      <c r="B129" s="3">
        <f t="shared" si="8"/>
        <v>0.99980962401987872</v>
      </c>
      <c r="C129">
        <f>COS(RADIANS(A129))^cosn!$B$15</f>
        <v>0.99984769515639127</v>
      </c>
      <c r="D129">
        <f t="shared" si="10"/>
        <v>-3.8071136512551895E-5</v>
      </c>
      <c r="E129">
        <f t="shared" si="11"/>
        <v>0.99996192306418574</v>
      </c>
      <c r="F129">
        <v>-0.5</v>
      </c>
      <c r="G129">
        <f t="shared" si="9"/>
        <v>0.99996192306417131</v>
      </c>
      <c r="H129">
        <f t="shared" si="7"/>
        <v>0.99992384757819563</v>
      </c>
    </row>
    <row r="130" spans="1:8" x14ac:dyDescent="0.3">
      <c r="A130">
        <v>0</v>
      </c>
      <c r="B130" s="3">
        <f t="shared" si="8"/>
        <v>0.99998096153243599</v>
      </c>
      <c r="C130">
        <f>COS(RADIANS(A130))^cosn!$B$15</f>
        <v>1</v>
      </c>
      <c r="D130">
        <f t="shared" si="10"/>
        <v>-1.9038467564014283E-5</v>
      </c>
      <c r="E130">
        <f t="shared" si="11"/>
        <v>0.99998096153243599</v>
      </c>
      <c r="F130">
        <v>0</v>
      </c>
      <c r="G130">
        <f t="shared" si="9"/>
        <v>1</v>
      </c>
      <c r="H130">
        <f t="shared" si="7"/>
        <v>1</v>
      </c>
    </row>
    <row r="131" spans="1:8" x14ac:dyDescent="0.3">
      <c r="A131">
        <v>1</v>
      </c>
      <c r="B131" s="3">
        <f t="shared" ref="B131:B162" si="12">(H131-H132)/(($H$36+1)*(G131-G132))</f>
        <v>0.99980962401987872</v>
      </c>
      <c r="C131">
        <f>COS(RADIANS(A131))^cosn!$B$15</f>
        <v>0.99984769515639127</v>
      </c>
      <c r="D131">
        <f t="shared" si="10"/>
        <v>-3.8071136512551895E-5</v>
      </c>
      <c r="E131">
        <f t="shared" si="11"/>
        <v>0.99996192306418574</v>
      </c>
      <c r="F131">
        <v>0.5</v>
      </c>
      <c r="G131">
        <f t="shared" si="9"/>
        <v>0.99996192306417131</v>
      </c>
      <c r="H131">
        <f t="shared" si="7"/>
        <v>0.99992384757819563</v>
      </c>
    </row>
    <row r="132" spans="1:8" x14ac:dyDescent="0.3">
      <c r="A132">
        <v>2</v>
      </c>
      <c r="B132" s="3">
        <f t="shared" si="12"/>
        <v>0.99935277327864069</v>
      </c>
      <c r="C132">
        <f>COS(RADIANS(A132))^cosn!$B$15</f>
        <v>0.99939082701909576</v>
      </c>
      <c r="D132">
        <f t="shared" si="10"/>
        <v>-3.8053740455068485E-5</v>
      </c>
      <c r="E132">
        <f t="shared" si="11"/>
        <v>0.99996192306410436</v>
      </c>
      <c r="F132">
        <v>1.5</v>
      </c>
      <c r="G132">
        <f t="shared" si="9"/>
        <v>0.99965732497555726</v>
      </c>
      <c r="H132">
        <f t="shared" si="7"/>
        <v>0.99931476737728686</v>
      </c>
    </row>
    <row r="133" spans="1:8" x14ac:dyDescent="0.3">
      <c r="A133">
        <v>3</v>
      </c>
      <c r="B133" s="3">
        <f t="shared" si="12"/>
        <v>0.99859151000187329</v>
      </c>
      <c r="C133">
        <f>COS(RADIANS(A133))^cosn!$B$15</f>
        <v>0.99862953475457383</v>
      </c>
      <c r="D133">
        <f t="shared" si="10"/>
        <v>-3.80247527005384E-5</v>
      </c>
      <c r="E133">
        <f t="shared" si="11"/>
        <v>0.9999619230641823</v>
      </c>
      <c r="F133">
        <v>2.5</v>
      </c>
      <c r="G133">
        <f t="shared" si="9"/>
        <v>0.9990482215818578</v>
      </c>
      <c r="H133">
        <f t="shared" si="7"/>
        <v>0.99809734904587288</v>
      </c>
    </row>
    <row r="134" spans="1:8" x14ac:dyDescent="0.3">
      <c r="A134">
        <v>4</v>
      </c>
      <c r="B134" s="3">
        <f t="shared" si="12"/>
        <v>0.99752606607748884</v>
      </c>
      <c r="C134">
        <f>COS(RADIANS(A134))^cosn!$B$15</f>
        <v>0.9975640502598242</v>
      </c>
      <c r="D134">
        <f t="shared" si="10"/>
        <v>-3.7984182335359939E-5</v>
      </c>
      <c r="E134">
        <f t="shared" si="11"/>
        <v>0.99996192306416265</v>
      </c>
      <c r="F134">
        <v>3.5</v>
      </c>
      <c r="G134">
        <f t="shared" si="9"/>
        <v>0.99813479842186692</v>
      </c>
      <c r="H134">
        <f t="shared" si="7"/>
        <v>0.99627307582066094</v>
      </c>
    </row>
    <row r="135" spans="1:8" x14ac:dyDescent="0.3">
      <c r="A135">
        <v>5</v>
      </c>
      <c r="B135" s="3">
        <f t="shared" si="12"/>
        <v>0.9961567660501599</v>
      </c>
      <c r="C135">
        <f>COS(RADIANS(A135))^cosn!$B$15</f>
        <v>0.99619469809174555</v>
      </c>
      <c r="D135">
        <f t="shared" si="10"/>
        <v>-3.7932041585642118E-5</v>
      </c>
      <c r="E135">
        <f t="shared" si="11"/>
        <v>0.99996192306417786</v>
      </c>
      <c r="F135">
        <v>4.5</v>
      </c>
      <c r="G135">
        <f t="shared" si="9"/>
        <v>0.99691733373312796</v>
      </c>
      <c r="H135">
        <f t="shared" ref="H135:H166" si="13">G135^($H$36+1)</f>
        <v>0.99384417029756889</v>
      </c>
    </row>
    <row r="136" spans="1:8" x14ac:dyDescent="0.3">
      <c r="A136">
        <v>6</v>
      </c>
      <c r="B136" s="3">
        <f t="shared" si="12"/>
        <v>0.99448402702188132</v>
      </c>
      <c r="C136">
        <f>COS(RADIANS(A136))^cosn!$B$15</f>
        <v>0.99452189536827329</v>
      </c>
      <c r="D136">
        <f t="shared" si="10"/>
        <v>-3.7868346391967123E-5</v>
      </c>
      <c r="E136">
        <f t="shared" si="11"/>
        <v>0.99996192306416953</v>
      </c>
      <c r="F136">
        <v>5.5</v>
      </c>
      <c r="G136">
        <f t="shared" si="9"/>
        <v>0.99539619836717885</v>
      </c>
      <c r="H136">
        <f t="shared" si="13"/>
        <v>0.9908135917238321</v>
      </c>
    </row>
    <row r="137" spans="1:8" x14ac:dyDescent="0.3">
      <c r="A137">
        <v>7</v>
      </c>
      <c r="B137" s="3">
        <f t="shared" si="12"/>
        <v>0.99250835852520336</v>
      </c>
      <c r="C137">
        <f>COS(RADIANS(A137))^cosn!$B$15</f>
        <v>0.99254615164132198</v>
      </c>
      <c r="D137">
        <f t="shared" si="10"/>
        <v>-3.7793116118622905E-5</v>
      </c>
      <c r="E137">
        <f t="shared" si="11"/>
        <v>0.99996192306417575</v>
      </c>
      <c r="F137">
        <v>6.5</v>
      </c>
      <c r="G137">
        <f t="shared" si="9"/>
        <v>0.99357185567658746</v>
      </c>
      <c r="H137">
        <f t="shared" si="13"/>
        <v>0.98718503239261757</v>
      </c>
    </row>
    <row r="138" spans="1:8" x14ac:dyDescent="0.3">
      <c r="A138">
        <v>8</v>
      </c>
      <c r="B138" s="3">
        <f t="shared" si="12"/>
        <v>0.99023036236785789</v>
      </c>
      <c r="C138">
        <f>COS(RADIANS(A138))^cosn!$B$15</f>
        <v>0.99026806874157036</v>
      </c>
      <c r="D138">
        <f t="shared" si="10"/>
        <v>-3.7706373712476093E-5</v>
      </c>
      <c r="E138">
        <f t="shared" si="11"/>
        <v>0.99996192306416543</v>
      </c>
      <c r="F138">
        <v>7.5</v>
      </c>
      <c r="G138">
        <f t="shared" si="9"/>
        <v>0.99144486137381038</v>
      </c>
      <c r="H138">
        <f t="shared" si="13"/>
        <v>0.9829629131445341</v>
      </c>
    </row>
    <row r="139" spans="1:8" x14ac:dyDescent="0.3">
      <c r="A139">
        <v>9</v>
      </c>
      <c r="B139" s="3">
        <f t="shared" si="12"/>
        <v>0.98765073244957924</v>
      </c>
      <c r="C139">
        <f>COS(RADIANS(A139))^cosn!$B$15</f>
        <v>0.98768834059513777</v>
      </c>
      <c r="D139">
        <f t="shared" si="10"/>
        <v>-3.760814555853198E-5</v>
      </c>
      <c r="E139">
        <f t="shared" si="11"/>
        <v>0.99996192306417642</v>
      </c>
      <c r="F139">
        <v>8.5</v>
      </c>
      <c r="G139">
        <f t="shared" si="9"/>
        <v>0.98901586336191682</v>
      </c>
      <c r="H139">
        <f t="shared" si="13"/>
        <v>0.97815237798151777</v>
      </c>
    </row>
    <row r="140" spans="1:8" x14ac:dyDescent="0.3">
      <c r="A140">
        <v>10</v>
      </c>
      <c r="B140" s="3">
        <f t="shared" si="12"/>
        <v>0.98477025455059708</v>
      </c>
      <c r="C140">
        <f>COS(RADIANS(A140))^cosn!$B$15</f>
        <v>0.98480775301220802</v>
      </c>
      <c r="D140">
        <f t="shared" si="10"/>
        <v>-3.7498461610940836E-5</v>
      </c>
      <c r="E140">
        <f t="shared" si="11"/>
        <v>0.99996192306417553</v>
      </c>
      <c r="F140">
        <v>9.5</v>
      </c>
      <c r="G140">
        <f t="shared" si="9"/>
        <v>0.98628560153723144</v>
      </c>
      <c r="H140">
        <f t="shared" si="13"/>
        <v>0.97275928779965848</v>
      </c>
    </row>
    <row r="141" spans="1:8" x14ac:dyDescent="0.3">
      <c r="A141">
        <v>11</v>
      </c>
      <c r="B141" s="3">
        <f t="shared" si="12"/>
        <v>0.98158980609238877</v>
      </c>
      <c r="C141">
        <f>COS(RADIANS(A141))^cosn!$B$15</f>
        <v>0.98162718344766398</v>
      </c>
      <c r="D141">
        <f t="shared" si="10"/>
        <v>-3.737735527520325E-5</v>
      </c>
      <c r="E141">
        <f t="shared" si="11"/>
        <v>0.99996192306416787</v>
      </c>
      <c r="F141">
        <v>10.5</v>
      </c>
      <c r="G141">
        <f t="shared" si="9"/>
        <v>0.98325490756395462</v>
      </c>
      <c r="H141">
        <f t="shared" si="13"/>
        <v>0.96679021324860093</v>
      </c>
    </row>
    <row r="142" spans="1:8" x14ac:dyDescent="0.3">
      <c r="A142">
        <v>12</v>
      </c>
      <c r="B142" s="3">
        <f t="shared" si="12"/>
        <v>0.97811035587037631</v>
      </c>
      <c r="C142">
        <f>COS(RADIANS(A142))^cosn!$B$15</f>
        <v>0.97814760073380569</v>
      </c>
      <c r="D142">
        <f t="shared" si="10"/>
        <v>-3.7244863429375386E-5</v>
      </c>
      <c r="E142">
        <f t="shared" si="11"/>
        <v>0.99996192306416598</v>
      </c>
      <c r="F142">
        <v>11.5</v>
      </c>
      <c r="G142">
        <f t="shared" si="9"/>
        <v>0.97992470462082959</v>
      </c>
      <c r="H142">
        <f t="shared" si="13"/>
        <v>0.96025242672622013</v>
      </c>
    </row>
    <row r="143" spans="1:8" x14ac:dyDescent="0.3">
      <c r="A143">
        <v>13</v>
      </c>
      <c r="B143" s="3">
        <f t="shared" si="12"/>
        <v>0.97433296375880496</v>
      </c>
      <c r="C143">
        <f>COS(RADIANS(A143))^cosn!$B$15</f>
        <v>0.97437006478523525</v>
      </c>
      <c r="D143">
        <f t="shared" si="10"/>
        <v>-3.7101026430286232E-5</v>
      </c>
      <c r="E143">
        <f t="shared" si="11"/>
        <v>0.9999619230641712</v>
      </c>
      <c r="F143">
        <v>12.5</v>
      </c>
      <c r="G143">
        <f t="shared" si="9"/>
        <v>0.97629600711993336</v>
      </c>
      <c r="H143">
        <f t="shared" si="13"/>
        <v>0.95315389351832502</v>
      </c>
    </row>
    <row r="144" spans="1:8" x14ac:dyDescent="0.3">
      <c r="A144">
        <v>14</v>
      </c>
      <c r="B144" s="3">
        <f t="shared" si="12"/>
        <v>0.97025878038789426</v>
      </c>
      <c r="C144">
        <f>COS(RADIANS(A144))^cosn!$B$15</f>
        <v>0.97029572627599647</v>
      </c>
      <c r="D144">
        <f t="shared" si="10"/>
        <v>-3.6945888102213331E-5</v>
      </c>
      <c r="E144">
        <f t="shared" si="11"/>
        <v>0.99996192306417342</v>
      </c>
      <c r="F144">
        <v>13.5</v>
      </c>
      <c r="G144">
        <f t="shared" si="9"/>
        <v>0.97236992039767656</v>
      </c>
      <c r="H144">
        <f t="shared" si="13"/>
        <v>0.94550326209418389</v>
      </c>
    </row>
    <row r="145" spans="1:8" x14ac:dyDescent="0.3">
      <c r="A145">
        <v>15</v>
      </c>
      <c r="B145" s="3">
        <f t="shared" si="12"/>
        <v>0.96588904679336984</v>
      </c>
      <c r="C145">
        <f>COS(RADIANS(A145))^cosn!$B$15</f>
        <v>0.96592582628906831</v>
      </c>
      <c r="D145">
        <f t="shared" si="10"/>
        <v>-3.6779495698469056E-5</v>
      </c>
      <c r="E145">
        <f t="shared" si="11"/>
        <v>0.99996192306417586</v>
      </c>
      <c r="F145">
        <v>14.5</v>
      </c>
      <c r="G145">
        <f t="shared" si="9"/>
        <v>0.96814764037810774</v>
      </c>
      <c r="H145">
        <f t="shared" si="13"/>
        <v>0.93730985356969787</v>
      </c>
    </row>
    <row r="146" spans="1:8" x14ac:dyDescent="0.3">
      <c r="A146">
        <v>16</v>
      </c>
      <c r="B146" s="3">
        <f t="shared" si="12"/>
        <v>0.96122509403840639</v>
      </c>
      <c r="C146">
        <f>COS(RADIANS(A146))^cosn!$B$15</f>
        <v>0.96126169593831889</v>
      </c>
      <c r="D146">
        <f t="shared" si="10"/>
        <v>-3.6601899912502844E-5</v>
      </c>
      <c r="E146">
        <f t="shared" si="11"/>
        <v>0.99996192306416953</v>
      </c>
      <c r="F146">
        <v>15.5</v>
      </c>
      <c r="G146">
        <f t="shared" si="9"/>
        <v>0.96363045320862295</v>
      </c>
      <c r="H146">
        <f t="shared" si="13"/>
        <v>0.92858365035105606</v>
      </c>
    </row>
    <row r="147" spans="1:8" x14ac:dyDescent="0.3">
      <c r="A147">
        <v>17</v>
      </c>
      <c r="B147" s="3">
        <f t="shared" si="12"/>
        <v>0.95626834280820683</v>
      </c>
      <c r="C147">
        <f>COS(RADIANS(A147))^cosn!$B$15</f>
        <v>0.95630475596303544</v>
      </c>
      <c r="D147">
        <f t="shared" si="10"/>
        <v>-3.6413154828607297E-5</v>
      </c>
      <c r="E147">
        <f t="shared" si="11"/>
        <v>0.99996192306416809</v>
      </c>
      <c r="F147">
        <v>16.5</v>
      </c>
      <c r="G147">
        <f t="shared" si="9"/>
        <v>0.95881973486819305</v>
      </c>
      <c r="H147">
        <f t="shared" si="13"/>
        <v>0.91933528397271203</v>
      </c>
    </row>
    <row r="148" spans="1:8" x14ac:dyDescent="0.3">
      <c r="A148">
        <v>18</v>
      </c>
      <c r="B148" s="3">
        <f t="shared" si="12"/>
        <v>0.95102030297721685</v>
      </c>
      <c r="C148">
        <f>COS(RADIANS(A148))^cosn!$B$15</f>
        <v>0.95105651629515353</v>
      </c>
      <c r="D148">
        <f t="shared" si="10"/>
        <v>-3.6213317936684142E-5</v>
      </c>
      <c r="E148">
        <f t="shared" si="11"/>
        <v>0.9999619230641752</v>
      </c>
      <c r="F148">
        <v>17.5</v>
      </c>
      <c r="G148">
        <f t="shared" si="9"/>
        <v>0.95371695074822693</v>
      </c>
      <c r="H148">
        <f t="shared" si="13"/>
        <v>0.90957602214449595</v>
      </c>
    </row>
    <row r="149" spans="1:8" x14ac:dyDescent="0.3">
      <c r="A149">
        <v>19</v>
      </c>
      <c r="B149" s="3">
        <f t="shared" si="12"/>
        <v>0.94548257314919359</v>
      </c>
      <c r="C149">
        <f>COS(RADIANS(A149))^cosn!$B$15</f>
        <v>0.94551857559931685</v>
      </c>
      <c r="D149">
        <f t="shared" si="10"/>
        <v>-3.6002450123251428E-5</v>
      </c>
      <c r="E149">
        <f t="shared" si="11"/>
        <v>0.99996192306417631</v>
      </c>
      <c r="F149">
        <v>18.5</v>
      </c>
      <c r="G149">
        <f t="shared" si="9"/>
        <v>0.94832365520619932</v>
      </c>
      <c r="H149">
        <f t="shared" si="13"/>
        <v>0.89931775502364641</v>
      </c>
    </row>
    <row r="150" spans="1:8" x14ac:dyDescent="0.3">
      <c r="A150">
        <v>20</v>
      </c>
      <c r="B150" s="3">
        <f t="shared" si="12"/>
        <v>0.93965684017027995</v>
      </c>
      <c r="C150">
        <f>COS(RADIANS(A150))^cosn!$B$15</f>
        <v>0.93969262078590843</v>
      </c>
      <c r="D150">
        <f t="shared" si="10"/>
        <v>-3.5780615628477896E-5</v>
      </c>
      <c r="E150">
        <f t="shared" si="11"/>
        <v>0.99996192306416265</v>
      </c>
      <c r="F150">
        <v>19.5</v>
      </c>
      <c r="G150">
        <f t="shared" si="9"/>
        <v>0.94264149109217843</v>
      </c>
      <c r="H150">
        <f t="shared" si="13"/>
        <v>0.88857298072848545</v>
      </c>
    </row>
    <row r="151" spans="1:8" x14ac:dyDescent="0.3">
      <c r="A151">
        <v>21</v>
      </c>
      <c r="B151" s="3">
        <f t="shared" si="12"/>
        <v>0.93354487861521263</v>
      </c>
      <c r="C151">
        <f>COS(RADIANS(A151))^cosn!$B$15</f>
        <v>0.93358042649720174</v>
      </c>
      <c r="D151">
        <f t="shared" si="10"/>
        <v>-3.5547881989117514E-5</v>
      </c>
      <c r="E151">
        <f t="shared" si="11"/>
        <v>0.99996192306417298</v>
      </c>
      <c r="F151">
        <v>20.5</v>
      </c>
      <c r="G151">
        <f t="shared" si="9"/>
        <v>0.93667218924839757</v>
      </c>
      <c r="H151">
        <f t="shared" si="13"/>
        <v>0.87735479011138595</v>
      </c>
    </row>
    <row r="152" spans="1:8" x14ac:dyDescent="0.3">
      <c r="A152">
        <v>22</v>
      </c>
      <c r="B152" s="3">
        <f t="shared" si="12"/>
        <v>0.92714855024665721</v>
      </c>
      <c r="C152">
        <f>COS(RADIANS(A152))^cosn!$B$15</f>
        <v>0.92718385456678742</v>
      </c>
      <c r="D152">
        <f t="shared" si="10"/>
        <v>-3.5304320130213895E-5</v>
      </c>
      <c r="E152">
        <f t="shared" si="11"/>
        <v>0.99996192306417298</v>
      </c>
      <c r="F152">
        <v>21.5</v>
      </c>
      <c r="G152">
        <f t="shared" si="9"/>
        <v>0.93041756798202457</v>
      </c>
      <c r="H152">
        <f t="shared" si="13"/>
        <v>0.86567685080958534</v>
      </c>
    </row>
    <row r="153" spans="1:8" x14ac:dyDescent="0.3">
      <c r="A153">
        <v>23</v>
      </c>
      <c r="B153" s="3">
        <f t="shared" si="12"/>
        <v>0.92046980344820228</v>
      </c>
      <c r="C153">
        <f>COS(RADIANS(A153))^cosn!$B$15</f>
        <v>0.92050485345244037</v>
      </c>
      <c r="D153">
        <f t="shared" si="10"/>
        <v>-3.5050004238090793E-5</v>
      </c>
      <c r="E153">
        <f t="shared" si="11"/>
        <v>0.99996192306416787</v>
      </c>
      <c r="F153">
        <v>22.5</v>
      </c>
      <c r="G153">
        <f t="shared" si="9"/>
        <v>0.92387953251128674</v>
      </c>
      <c r="H153">
        <f t="shared" si="13"/>
        <v>0.85355339059327373</v>
      </c>
    </row>
    <row r="154" spans="1:8" x14ac:dyDescent="0.3">
      <c r="A154">
        <v>24</v>
      </c>
      <c r="B154" s="3">
        <f t="shared" si="12"/>
        <v>0.91351067263083807</v>
      </c>
      <c r="C154">
        <f>COS(RADIANS(A154))^cosn!$B$15</f>
        <v>0.91354545764260087</v>
      </c>
      <c r="D154">
        <f t="shared" si="10"/>
        <v>-3.4785011762794582E-5</v>
      </c>
      <c r="E154">
        <f t="shared" si="11"/>
        <v>0.99996192306417619</v>
      </c>
      <c r="F154">
        <v>23.5</v>
      </c>
      <c r="G154">
        <f t="shared" si="9"/>
        <v>0.91706007438512405</v>
      </c>
      <c r="H154">
        <f t="shared" si="13"/>
        <v>0.84099918003124929</v>
      </c>
    </row>
    <row r="155" spans="1:8" x14ac:dyDescent="0.3">
      <c r="A155">
        <v>25</v>
      </c>
      <c r="B155" s="3">
        <f t="shared" si="12"/>
        <v>0.90627327761320164</v>
      </c>
      <c r="C155">
        <f>COS(RADIANS(A155))^cosn!$B$15</f>
        <v>0.90630778703664994</v>
      </c>
      <c r="D155">
        <f t="shared" si="10"/>
        <v>-3.4509423448292331E-5</v>
      </c>
      <c r="E155">
        <f t="shared" si="11"/>
        <v>0.99996192306417098</v>
      </c>
      <c r="F155">
        <v>24.5</v>
      </c>
      <c r="G155">
        <f t="shared" si="9"/>
        <v>0.90996127087654322</v>
      </c>
      <c r="H155">
        <f t="shared" si="13"/>
        <v>0.82802951449525364</v>
      </c>
    </row>
    <row r="156" spans="1:8" x14ac:dyDescent="0.3">
      <c r="A156">
        <v>26</v>
      </c>
      <c r="B156" s="3">
        <f t="shared" si="12"/>
        <v>0.89875982297594115</v>
      </c>
      <c r="C156">
        <f>COS(RADIANS(A156))^cosn!$B$15</f>
        <v>0.89879404629916704</v>
      </c>
      <c r="D156">
        <f t="shared" si="10"/>
        <v>-3.422332322589039E-5</v>
      </c>
      <c r="E156">
        <f t="shared" si="11"/>
        <v>0.99996192306416931</v>
      </c>
      <c r="F156">
        <v>25.5</v>
      </c>
      <c r="G156">
        <f t="shared" si="9"/>
        <v>0.90258528434986063</v>
      </c>
      <c r="H156">
        <f t="shared" si="13"/>
        <v>0.81466019552491875</v>
      </c>
    </row>
    <row r="157" spans="1:8" x14ac:dyDescent="0.3">
      <c r="A157">
        <v>27</v>
      </c>
      <c r="B157" s="3">
        <f t="shared" si="12"/>
        <v>0.89097259739012713</v>
      </c>
      <c r="C157">
        <f>COS(RADIANS(A157))^cosn!$B$15</f>
        <v>0.8910065241883679</v>
      </c>
      <c r="D157">
        <f t="shared" si="10"/>
        <v>-3.3926798240768719E-5</v>
      </c>
      <c r="E157">
        <f t="shared" si="11"/>
        <v>0.99996192306417542</v>
      </c>
      <c r="F157">
        <v>26.5</v>
      </c>
      <c r="G157">
        <f t="shared" si="9"/>
        <v>0.89493436160202511</v>
      </c>
      <c r="H157">
        <f t="shared" si="13"/>
        <v>0.80090751157602424</v>
      </c>
    </row>
    <row r="158" spans="1:8" x14ac:dyDescent="0.3">
      <c r="A158">
        <v>28</v>
      </c>
      <c r="B158" s="3">
        <f t="shared" si="12"/>
        <v>0.88291397292008822</v>
      </c>
      <c r="C158">
        <f>COS(RADIANS(A158))^cosn!$B$15</f>
        <v>0.88294759285892699</v>
      </c>
      <c r="D158">
        <f t="shared" si="10"/>
        <v>-3.3619938838769237E-5</v>
      </c>
      <c r="E158">
        <f t="shared" si="11"/>
        <v>0.9999619230641652</v>
      </c>
      <c r="F158">
        <v>27.5</v>
      </c>
      <c r="G158">
        <f t="shared" si="9"/>
        <v>0.88701083317822171</v>
      </c>
      <c r="H158">
        <f t="shared" si="13"/>
        <v>0.78678821817552302</v>
      </c>
    </row>
    <row r="159" spans="1:8" x14ac:dyDescent="0.3">
      <c r="A159">
        <v>29</v>
      </c>
      <c r="B159" s="3">
        <f t="shared" si="12"/>
        <v>0.87458640430093515</v>
      </c>
      <c r="C159">
        <f>COS(RADIANS(A159))^cosn!$B$15</f>
        <v>0.87461970713939574</v>
      </c>
      <c r="D159">
        <f t="shared" si="10"/>
        <v>-3.3302838460591566E-5</v>
      </c>
      <c r="E159">
        <f t="shared" si="11"/>
        <v>0.99996192306417431</v>
      </c>
      <c r="F159">
        <v>28.5</v>
      </c>
      <c r="G159">
        <f t="shared" si="9"/>
        <v>0.87881711266196538</v>
      </c>
      <c r="H159">
        <f t="shared" si="13"/>
        <v>0.7723195175075136</v>
      </c>
    </row>
    <row r="160" spans="1:8" x14ac:dyDescent="0.3">
      <c r="A160">
        <v>30</v>
      </c>
      <c r="B160" s="3">
        <f t="shared" si="12"/>
        <v>0.86599242819071443</v>
      </c>
      <c r="C160">
        <f>COS(RADIANS(A160))^cosn!$B$15</f>
        <v>0.86602540378443871</v>
      </c>
      <c r="D160">
        <f t="shared" si="10"/>
        <v>-3.2975593724282604E-5</v>
      </c>
      <c r="E160">
        <f t="shared" si="11"/>
        <v>0.9999619230641732</v>
      </c>
      <c r="F160">
        <v>29.5</v>
      </c>
      <c r="G160">
        <f t="shared" si="9"/>
        <v>0.8703556959398997</v>
      </c>
      <c r="H160">
        <f t="shared" si="13"/>
        <v>0.75751903745502713</v>
      </c>
    </row>
    <row r="161" spans="1:8" x14ac:dyDescent="0.3">
      <c r="A161">
        <v>31</v>
      </c>
      <c r="B161" s="3">
        <f t="shared" si="12"/>
        <v>0.85713466239780434</v>
      </c>
      <c r="C161">
        <f>COS(RADIANS(A161))^cosn!$B$15</f>
        <v>0.85716730070211233</v>
      </c>
      <c r="D161">
        <f t="shared" si="10"/>
        <v>-3.2638304307996968E-5</v>
      </c>
      <c r="E161">
        <f t="shared" si="11"/>
        <v>0.99996192306416576</v>
      </c>
      <c r="F161">
        <v>30.5</v>
      </c>
      <c r="G161">
        <f t="shared" si="9"/>
        <v>0.86162916044152582</v>
      </c>
      <c r="H161">
        <f t="shared" si="13"/>
        <v>0.74240481012316861</v>
      </c>
    </row>
    <row r="162" spans="1:8" x14ac:dyDescent="0.3">
      <c r="A162">
        <v>32</v>
      </c>
      <c r="B162" s="3">
        <f t="shared" si="12"/>
        <v>0.84801580508349195</v>
      </c>
      <c r="C162">
        <f>COS(RADIANS(A162))^cosn!$B$15</f>
        <v>0.84804809615642596</v>
      </c>
      <c r="D162">
        <f t="shared" si="10"/>
        <v>-3.229107293400979E-5</v>
      </c>
      <c r="E162">
        <f t="shared" si="11"/>
        <v>0.99996192306417486</v>
      </c>
      <c r="F162">
        <v>31.5</v>
      </c>
      <c r="G162">
        <f t="shared" si="9"/>
        <v>0.85264016435409218</v>
      </c>
      <c r="H162">
        <f t="shared" si="13"/>
        <v>0.72699524986977337</v>
      </c>
    </row>
    <row r="163" spans="1:8" x14ac:dyDescent="0.3">
      <c r="A163">
        <v>33</v>
      </c>
      <c r="B163" s="3">
        <f t="shared" ref="B163:B194" si="14">(H163-H164)/(($H$36+1)*(G163-G164))</f>
        <v>0.83863863394002758</v>
      </c>
      <c r="C163">
        <f>COS(RADIANS(A163))^cosn!$B$15</f>
        <v>0.83867056794542405</v>
      </c>
      <c r="D163">
        <f t="shared" si="10"/>
        <v>-3.1934005396472287E-5</v>
      </c>
      <c r="E163">
        <f t="shared" si="11"/>
        <v>0.99996192306417198</v>
      </c>
      <c r="F163">
        <v>32.5</v>
      </c>
      <c r="G163">
        <f t="shared" si="9"/>
        <v>0.84339144581288572</v>
      </c>
      <c r="H163">
        <f t="shared" si="13"/>
        <v>0.71130913087034975</v>
      </c>
    </row>
    <row r="164" spans="1:8" x14ac:dyDescent="0.3">
      <c r="A164">
        <v>34</v>
      </c>
      <c r="B164" s="3">
        <f t="shared" si="14"/>
        <v>0.82900600534458879</v>
      </c>
      <c r="C164">
        <f>COS(RADIANS(A164))^cosn!$B$15</f>
        <v>0.82903757255504162</v>
      </c>
      <c r="D164">
        <f t="shared" si="10"/>
        <v>-3.1567210452831951E-5</v>
      </c>
      <c r="E164">
        <f t="shared" si="11"/>
        <v>0.99996192306416765</v>
      </c>
      <c r="F164">
        <v>33.5</v>
      </c>
      <c r="G164">
        <f t="shared" si="9"/>
        <v>0.83388582206716821</v>
      </c>
      <c r="H164">
        <f t="shared" si="13"/>
        <v>0.69536556424463691</v>
      </c>
    </row>
    <row r="165" spans="1:8" x14ac:dyDescent="0.3">
      <c r="A165">
        <v>35</v>
      </c>
      <c r="B165" s="3">
        <f t="shared" si="14"/>
        <v>0.81912085348917041</v>
      </c>
      <c r="C165">
        <f>COS(RADIANS(A165))^cosn!$B$15</f>
        <v>0.8191520442889918</v>
      </c>
      <c r="D165">
        <f t="shared" si="10"/>
        <v>-3.1190799821390058E-5</v>
      </c>
      <c r="E165">
        <f t="shared" si="11"/>
        <v>0.99996192306417486</v>
      </c>
      <c r="F165">
        <v>34.5</v>
      </c>
      <c r="G165">
        <f t="shared" si="9"/>
        <v>0.8241261886220157</v>
      </c>
      <c r="H165">
        <f t="shared" si="13"/>
        <v>0.67918397477265025</v>
      </c>
    </row>
    <row r="166" spans="1:8" x14ac:dyDescent="0.3">
      <c r="A166">
        <v>36</v>
      </c>
      <c r="B166" s="3">
        <f t="shared" si="14"/>
        <v>0.80898618948676881</v>
      </c>
      <c r="C166">
        <f>COS(RADIANS(A166))^cosn!$B$15</f>
        <v>0.80901699437494745</v>
      </c>
      <c r="D166">
        <f t="shared" si="10"/>
        <v>-3.0804888178637135E-5</v>
      </c>
      <c r="E166">
        <f t="shared" si="11"/>
        <v>0.99996192306417198</v>
      </c>
      <c r="F166">
        <v>35.5</v>
      </c>
      <c r="G166">
        <f t="shared" si="9"/>
        <v>0.81411551835631923</v>
      </c>
      <c r="H166">
        <f t="shared" si="13"/>
        <v>0.66278407722857835</v>
      </c>
    </row>
    <row r="167" spans="1:8" x14ac:dyDescent="0.3">
      <c r="A167">
        <v>37</v>
      </c>
      <c r="B167" s="3">
        <f t="shared" si="14"/>
        <v>0.79860510045422572</v>
      </c>
      <c r="C167">
        <f>COS(RADIANS(A167))^cosn!$B$15</f>
        <v>0.79863551004729283</v>
      </c>
      <c r="D167">
        <f t="shared" si="10"/>
        <v>-3.0409593067104446E-5</v>
      </c>
      <c r="E167">
        <f t="shared" si="11"/>
        <v>0.99996192306417064</v>
      </c>
      <c r="F167">
        <v>36.5</v>
      </c>
      <c r="G167">
        <f t="shared" si="9"/>
        <v>0.80385686061721728</v>
      </c>
      <c r="H167">
        <f t="shared" ref="H167:H198" si="15">G167^($H$36+1)</f>
        <v>0.64618585236136827</v>
      </c>
    </row>
    <row r="168" spans="1:8" x14ac:dyDescent="0.3">
      <c r="A168">
        <v>38</v>
      </c>
      <c r="B168" s="3">
        <f t="shared" si="14"/>
        <v>0.7879807485718221</v>
      </c>
      <c r="C168">
        <f>COS(RADIANS(A168))^cosn!$B$15</f>
        <v>0.7880107536067219</v>
      </c>
      <c r="D168">
        <f t="shared" si="10"/>
        <v>-3.0005034899804883E-5</v>
      </c>
      <c r="E168">
        <f t="shared" si="11"/>
        <v>0.99996192306416831</v>
      </c>
      <c r="F168">
        <v>37.5</v>
      </c>
      <c r="G168">
        <f t="shared" si="9"/>
        <v>0.79335334029123517</v>
      </c>
      <c r="H168">
        <f t="shared" si="15"/>
        <v>0.62940952255126037</v>
      </c>
    </row>
    <row r="169" spans="1:8" x14ac:dyDescent="0.3">
      <c r="A169">
        <v>39</v>
      </c>
      <c r="B169" s="3">
        <f t="shared" si="14"/>
        <v>0.7771163701200704</v>
      </c>
      <c r="C169">
        <f>COS(RADIANS(A169))^cosn!$B$15</f>
        <v>0.7771459614569709</v>
      </c>
      <c r="D169">
        <f t="shared" ref="D169:D220" si="16">+B169-C169</f>
        <v>-2.9591336900502974E-5</v>
      </c>
      <c r="E169">
        <f t="shared" ref="E169:E221" si="17">+B169/C169</f>
        <v>0.99996192306417575</v>
      </c>
      <c r="F169">
        <v>38.5</v>
      </c>
      <c r="G169">
        <f t="shared" ref="G169:G221" si="18">COS(RADIANS(F169))</f>
        <v>0.78260815685241392</v>
      </c>
      <c r="H169">
        <f t="shared" si="15"/>
        <v>0.61247552717193254</v>
      </c>
    </row>
    <row r="170" spans="1:8" x14ac:dyDescent="0.3">
      <c r="A170">
        <v>40</v>
      </c>
      <c r="B170" s="3">
        <f t="shared" si="14"/>
        <v>0.76601527449387152</v>
      </c>
      <c r="C170">
        <f>COS(RADIANS(A170))^cosn!$B$15</f>
        <v>0.76604444311897801</v>
      </c>
      <c r="D170">
        <f t="shared" si="16"/>
        <v>-2.9168625106490431E-5</v>
      </c>
      <c r="E170">
        <f t="shared" si="17"/>
        <v>0.9999619230641662</v>
      </c>
      <c r="F170">
        <v>39.5</v>
      </c>
      <c r="G170">
        <f t="shared" si="18"/>
        <v>0.77162458338772</v>
      </c>
      <c r="H170">
        <f t="shared" si="15"/>
        <v>0.59540449768827242</v>
      </c>
    </row>
    <row r="171" spans="1:8" x14ac:dyDescent="0.3">
      <c r="A171">
        <v>41</v>
      </c>
      <c r="B171" s="3">
        <f t="shared" si="14"/>
        <v>0.75468084319451789</v>
      </c>
      <c r="C171">
        <f>COS(RADIANS(A171))^cosn!$B$15</f>
        <v>0.75470958022277201</v>
      </c>
      <c r="D171">
        <f t="shared" si="16"/>
        <v>-2.8737028254122166E-5</v>
      </c>
      <c r="E171">
        <f t="shared" si="17"/>
        <v>0.99996192306417309</v>
      </c>
      <c r="F171">
        <v>40.5</v>
      </c>
      <c r="G171">
        <f t="shared" si="18"/>
        <v>0.76040596560003093</v>
      </c>
      <c r="H171">
        <f t="shared" si="15"/>
        <v>0.57821723252011548</v>
      </c>
    </row>
    <row r="172" spans="1:8" x14ac:dyDescent="0.3">
      <c r="A172">
        <v>42</v>
      </c>
      <c r="B172" s="3">
        <f t="shared" si="14"/>
        <v>0.74311652879956525</v>
      </c>
      <c r="C172">
        <f>COS(RADIANS(A172))^cosn!$B$15</f>
        <v>0.74314482547739424</v>
      </c>
      <c r="D172">
        <f t="shared" si="16"/>
        <v>-2.8296677828998362E-5</v>
      </c>
      <c r="E172">
        <f t="shared" si="17"/>
        <v>0.9999619230641742</v>
      </c>
      <c r="F172">
        <v>41.5</v>
      </c>
      <c r="G172">
        <f t="shared" si="18"/>
        <v>0.74895572078900219</v>
      </c>
      <c r="H172">
        <f t="shared" si="15"/>
        <v>0.56093467170257383</v>
      </c>
    </row>
    <row r="173" spans="1:8" x14ac:dyDescent="0.3">
      <c r="A173">
        <v>43</v>
      </c>
      <c r="B173" s="3">
        <f t="shared" si="14"/>
        <v>0.7313258539112063</v>
      </c>
      <c r="C173">
        <f>COS(RADIANS(A173))^cosn!$B$15</f>
        <v>0.73135370161917046</v>
      </c>
      <c r="D173">
        <f t="shared" si="16"/>
        <v>-2.7847707964157031E-5</v>
      </c>
      <c r="E173">
        <f t="shared" si="17"/>
        <v>0.99996192306417198</v>
      </c>
      <c r="F173">
        <v>42.5</v>
      </c>
      <c r="G173">
        <f t="shared" si="18"/>
        <v>0.73727733681012397</v>
      </c>
      <c r="H173">
        <f t="shared" si="15"/>
        <v>0.54357787137382896</v>
      </c>
    </row>
    <row r="174" spans="1:8" x14ac:dyDescent="0.3">
      <c r="A174">
        <v>44</v>
      </c>
      <c r="B174" s="3">
        <f t="shared" si="14"/>
        <v>0.71931241008323454</v>
      </c>
      <c r="C174">
        <f>COS(RADIANS(A174))^cosn!$B$15</f>
        <v>0.71933980033865119</v>
      </c>
      <c r="D174">
        <f t="shared" si="16"/>
        <v>-2.7390255416648301E-5</v>
      </c>
      <c r="E174">
        <f t="shared" si="17"/>
        <v>0.99996192306417109</v>
      </c>
      <c r="F174">
        <v>43.5</v>
      </c>
      <c r="G174">
        <f t="shared" si="18"/>
        <v>0.72537437101228763</v>
      </c>
      <c r="H174">
        <f t="shared" si="15"/>
        <v>0.52616797812147187</v>
      </c>
    </row>
    <row r="175" spans="1:8" x14ac:dyDescent="0.3">
      <c r="A175">
        <v>45</v>
      </c>
      <c r="B175" s="3">
        <f t="shared" si="14"/>
        <v>0.70707985672701468</v>
      </c>
      <c r="C175">
        <f>COS(RADIANS(A175))^cosn!$B$15</f>
        <v>0.70710678118654757</v>
      </c>
      <c r="D175">
        <f t="shared" si="16"/>
        <v>-2.6924459532895462E-5</v>
      </c>
      <c r="E175">
        <f t="shared" si="17"/>
        <v>0.99996192306416898</v>
      </c>
      <c r="F175">
        <v>44.5</v>
      </c>
      <c r="G175">
        <f t="shared" si="18"/>
        <v>0.71325044915418156</v>
      </c>
      <c r="H175">
        <f t="shared" si="15"/>
        <v>0.5087262032186417</v>
      </c>
    </row>
    <row r="176" spans="1:8" x14ac:dyDescent="0.3">
      <c r="A176">
        <v>46</v>
      </c>
      <c r="B176" s="3">
        <f t="shared" si="14"/>
        <v>0.69463191999680263</v>
      </c>
      <c r="C176">
        <f>COS(RADIANS(A176))^cosn!$B$15</f>
        <v>0.69465837045899725</v>
      </c>
      <c r="D176">
        <f t="shared" si="16"/>
        <v>-2.64504621946271E-5</v>
      </c>
      <c r="E176">
        <f t="shared" si="17"/>
        <v>0.99996192306417164</v>
      </c>
      <c r="F176">
        <v>45.5</v>
      </c>
      <c r="G176">
        <f t="shared" si="18"/>
        <v>0.7009092642998509</v>
      </c>
      <c r="H176">
        <f t="shared" si="15"/>
        <v>0.49127379678135824</v>
      </c>
    </row>
    <row r="177" spans="1:8" x14ac:dyDescent="0.3">
      <c r="A177">
        <v>47</v>
      </c>
      <c r="B177" s="3">
        <f t="shared" si="14"/>
        <v>0.68197239165470613</v>
      </c>
      <c r="C177">
        <f>COS(RADIANS(A177))^cosn!$B$15</f>
        <v>0.68199836006249848</v>
      </c>
      <c r="D177">
        <f t="shared" si="16"/>
        <v>-2.5968407792342774E-5</v>
      </c>
      <c r="E177">
        <f t="shared" si="17"/>
        <v>0.99996192306416987</v>
      </c>
      <c r="F177">
        <v>46.5</v>
      </c>
      <c r="G177">
        <f t="shared" si="18"/>
        <v>0.68835457569375402</v>
      </c>
      <c r="H177">
        <f t="shared" si="15"/>
        <v>0.47383202187852813</v>
      </c>
    </row>
    <row r="178" spans="1:8" x14ac:dyDescent="0.3">
      <c r="A178">
        <v>48</v>
      </c>
      <c r="B178" s="3">
        <f t="shared" si="14"/>
        <v>0.66910512791569987</v>
      </c>
      <c r="C178">
        <f>COS(RADIANS(A178))^cosn!$B$15</f>
        <v>0.66913060635885824</v>
      </c>
      <c r="D178">
        <f t="shared" si="16"/>
        <v>-2.5478443158366559E-5</v>
      </c>
      <c r="E178">
        <f t="shared" si="17"/>
        <v>0.99996192306417275</v>
      </c>
      <c r="F178">
        <v>47.5</v>
      </c>
      <c r="G178">
        <f t="shared" si="18"/>
        <v>0.67559020761566024</v>
      </c>
      <c r="H178">
        <f t="shared" si="15"/>
        <v>0.45642212862617093</v>
      </c>
    </row>
    <row r="179" spans="1:8" x14ac:dyDescent="0.3">
      <c r="A179">
        <v>49</v>
      </c>
      <c r="B179" s="3">
        <f t="shared" si="14"/>
        <v>0.65603404827295986</v>
      </c>
      <c r="C179">
        <f>COS(RADIANS(A179))^cosn!$B$15</f>
        <v>0.65605902899050728</v>
      </c>
      <c r="D179">
        <f t="shared" si="16"/>
        <v>-2.4980717547418152E-5</v>
      </c>
      <c r="E179">
        <f t="shared" si="17"/>
        <v>0.9999619230641702</v>
      </c>
      <c r="F179">
        <v>48.5</v>
      </c>
      <c r="G179">
        <f t="shared" si="18"/>
        <v>0.6626200482157375</v>
      </c>
      <c r="H179">
        <f t="shared" si="15"/>
        <v>0.43906532829742628</v>
      </c>
    </row>
    <row r="180" spans="1:8" x14ac:dyDescent="0.3">
      <c r="A180">
        <v>50</v>
      </c>
      <c r="B180" s="3">
        <f t="shared" si="14"/>
        <v>0.64276313430397469</v>
      </c>
      <c r="C180">
        <f>COS(RADIANS(A180))^cosn!$B$15</f>
        <v>0.64278760968653936</v>
      </c>
      <c r="D180">
        <f t="shared" si="16"/>
        <v>-2.4475382564670412E-5</v>
      </c>
      <c r="E180">
        <f t="shared" si="17"/>
        <v>0.99996192306417264</v>
      </c>
      <c r="F180">
        <v>49.5</v>
      </c>
      <c r="G180">
        <f t="shared" si="18"/>
        <v>0.64944804833018366</v>
      </c>
      <c r="H180">
        <f t="shared" si="15"/>
        <v>0.42178276747988458</v>
      </c>
    </row>
    <row r="181" spans="1:8" x14ac:dyDescent="0.3">
      <c r="A181">
        <v>51</v>
      </c>
      <c r="B181" s="3">
        <f t="shared" si="14"/>
        <v>0.62929642845769163</v>
      </c>
      <c r="C181">
        <f>COS(RADIANS(A181))^cosn!$B$15</f>
        <v>0.6293203910498375</v>
      </c>
      <c r="D181">
        <f t="shared" si="16"/>
        <v>-2.3962592145876371E-5</v>
      </c>
      <c r="E181">
        <f t="shared" si="17"/>
        <v>0.99996192306417098</v>
      </c>
      <c r="F181">
        <v>50.5</v>
      </c>
      <c r="G181">
        <f t="shared" si="18"/>
        <v>0.63607822027776395</v>
      </c>
      <c r="H181">
        <f t="shared" si="15"/>
        <v>0.40459550231172758</v>
      </c>
    </row>
    <row r="182" spans="1:8" x14ac:dyDescent="0.3">
      <c r="A182">
        <v>52</v>
      </c>
      <c r="B182" s="3">
        <f t="shared" si="14"/>
        <v>0.61563803282317009</v>
      </c>
      <c r="C182">
        <f>COS(RADIANS(A182))^cosn!$B$15</f>
        <v>0.61566147532565829</v>
      </c>
      <c r="D182">
        <f t="shared" si="16"/>
        <v>-2.3442502488202344E-5</v>
      </c>
      <c r="E182">
        <f t="shared" si="17"/>
        <v>0.99996192306417131</v>
      </c>
      <c r="F182">
        <v>51.5</v>
      </c>
      <c r="G182">
        <f t="shared" si="18"/>
        <v>0.62251463663761952</v>
      </c>
      <c r="H182">
        <f t="shared" si="15"/>
        <v>0.38752447282806746</v>
      </c>
    </row>
    <row r="183" spans="1:8" x14ac:dyDescent="0.3">
      <c r="A183">
        <v>53</v>
      </c>
      <c r="B183" s="3">
        <f t="shared" si="14"/>
        <v>0.6017921078800309</v>
      </c>
      <c r="C183">
        <f>COS(RADIANS(A183))^cosn!$B$15</f>
        <v>0.60181502315204838</v>
      </c>
      <c r="D183">
        <f t="shared" si="16"/>
        <v>-2.291527201747634E-5</v>
      </c>
      <c r="E183">
        <f t="shared" si="17"/>
        <v>0.99996192306417098</v>
      </c>
      <c r="F183">
        <v>52.5</v>
      </c>
      <c r="G183">
        <f t="shared" si="18"/>
        <v>0.60876142900872066</v>
      </c>
      <c r="H183">
        <f t="shared" si="15"/>
        <v>0.37059047744873963</v>
      </c>
    </row>
    <row r="184" spans="1:8" x14ac:dyDescent="0.3">
      <c r="A184">
        <v>54</v>
      </c>
      <c r="B184" s="3">
        <f t="shared" si="14"/>
        <v>0.58776287123113946</v>
      </c>
      <c r="C184">
        <f>COS(RADIANS(A184))^cosn!$B$15</f>
        <v>0.58778525229247314</v>
      </c>
      <c r="D184">
        <f t="shared" si="16"/>
        <v>-2.2381061333676122E-5</v>
      </c>
      <c r="E184">
        <f t="shared" si="17"/>
        <v>0.99996192306416942</v>
      </c>
      <c r="F184">
        <v>53.5</v>
      </c>
      <c r="G184">
        <f t="shared" si="18"/>
        <v>0.59482278675134137</v>
      </c>
      <c r="H184">
        <f t="shared" si="15"/>
        <v>0.35381414763863173</v>
      </c>
    </row>
    <row r="185" spans="1:8" x14ac:dyDescent="0.3">
      <c r="A185">
        <v>55</v>
      </c>
      <c r="B185" s="3">
        <f t="shared" si="14"/>
        <v>0.57355459631788708</v>
      </c>
      <c r="C185">
        <f>COS(RADIANS(A185))^cosn!$B$15</f>
        <v>0.57357643635104616</v>
      </c>
      <c r="D185">
        <f t="shared" si="16"/>
        <v>-2.1840033159081784E-5</v>
      </c>
      <c r="E185">
        <f t="shared" si="17"/>
        <v>0.99996192306417253</v>
      </c>
      <c r="F185">
        <v>54.5</v>
      </c>
      <c r="G185">
        <f t="shared" si="18"/>
        <v>0.58070295571093977</v>
      </c>
      <c r="H185">
        <f t="shared" si="15"/>
        <v>0.33721592277142171</v>
      </c>
    </row>
    <row r="186" spans="1:8" x14ac:dyDescent="0.3">
      <c r="A186">
        <v>56</v>
      </c>
      <c r="B186" s="3">
        <f t="shared" si="14"/>
        <v>0.55917161111844593</v>
      </c>
      <c r="C186">
        <f>COS(RADIANS(A186))^cosn!$B$15</f>
        <v>0.55919290347074679</v>
      </c>
      <c r="D186">
        <f t="shared" si="16"/>
        <v>-2.1292352300861239E-5</v>
      </c>
      <c r="E186">
        <f t="shared" si="17"/>
        <v>0.99996192306417209</v>
      </c>
      <c r="F186">
        <v>55.5</v>
      </c>
      <c r="G186">
        <f t="shared" si="18"/>
        <v>0.56640623692483283</v>
      </c>
      <c r="H186">
        <f t="shared" si="15"/>
        <v>0.32081602522734987</v>
      </c>
    </row>
    <row r="187" spans="1:8" x14ac:dyDescent="0.3">
      <c r="A187">
        <v>57</v>
      </c>
      <c r="B187" s="3">
        <f t="shared" si="14"/>
        <v>0.54461829682944007</v>
      </c>
      <c r="C187">
        <f>COS(RADIANS(A187))^cosn!$B$15</f>
        <v>0.54463903501502708</v>
      </c>
      <c r="D187">
        <f t="shared" si="16"/>
        <v>-2.0738185587010349E-5</v>
      </c>
      <c r="E187">
        <f t="shared" si="17"/>
        <v>0.99996192306416953</v>
      </c>
      <c r="F187">
        <v>56.5</v>
      </c>
      <c r="G187">
        <f t="shared" si="18"/>
        <v>0.55193698531205815</v>
      </c>
      <c r="H187">
        <f t="shared" si="15"/>
        <v>0.30463443575536309</v>
      </c>
    </row>
    <row r="188" spans="1:8" x14ac:dyDescent="0.3">
      <c r="A188">
        <v>58</v>
      </c>
      <c r="B188" s="3">
        <f t="shared" si="14"/>
        <v>0.52989908653138795</v>
      </c>
      <c r="C188">
        <f>COS(RADIANS(A188))^cosn!$B$15</f>
        <v>0.5299192642332049</v>
      </c>
      <c r="D188">
        <f t="shared" si="16"/>
        <v>-2.0177701816948002E-5</v>
      </c>
      <c r="E188">
        <f t="shared" si="17"/>
        <v>0.99996192306417442</v>
      </c>
      <c r="F188">
        <v>57.5</v>
      </c>
      <c r="G188">
        <f t="shared" si="18"/>
        <v>0.53729960834682389</v>
      </c>
      <c r="H188">
        <f t="shared" si="15"/>
        <v>0.28869086912965036</v>
      </c>
    </row>
    <row r="189" spans="1:8" x14ac:dyDescent="0.3">
      <c r="A189">
        <v>59</v>
      </c>
      <c r="B189" s="3">
        <f t="shared" si="14"/>
        <v>0.51501846383832639</v>
      </c>
      <c r="C189">
        <f>COS(RADIANS(A189))^cosn!$B$15</f>
        <v>0.51503807491005416</v>
      </c>
      <c r="D189">
        <f t="shared" si="16"/>
        <v>-1.9611071727765328E-5</v>
      </c>
      <c r="E189">
        <f t="shared" si="17"/>
        <v>0.9999619230641712</v>
      </c>
      <c r="F189">
        <v>58.5</v>
      </c>
      <c r="G189">
        <f t="shared" si="18"/>
        <v>0.52249856471594891</v>
      </c>
      <c r="H189">
        <f t="shared" si="15"/>
        <v>0.27300475013022663</v>
      </c>
    </row>
    <row r="190" spans="1:8" x14ac:dyDescent="0.3">
      <c r="A190">
        <v>60</v>
      </c>
      <c r="B190" s="3">
        <f t="shared" si="14"/>
        <v>0.49998096153208449</v>
      </c>
      <c r="C190">
        <f>COS(RADIANS(A190))^cosn!$B$15</f>
        <v>0.50000000000000011</v>
      </c>
      <c r="D190">
        <f t="shared" si="16"/>
        <v>-1.9038467915621915E-5</v>
      </c>
      <c r="E190">
        <f t="shared" si="17"/>
        <v>0.99996192306416876</v>
      </c>
      <c r="F190">
        <v>59.5</v>
      </c>
      <c r="G190">
        <f t="shared" si="18"/>
        <v>0.5075383629607042</v>
      </c>
      <c r="H190">
        <f t="shared" si="15"/>
        <v>0.2575951898768315</v>
      </c>
    </row>
    <row r="191" spans="1:8" x14ac:dyDescent="0.3">
      <c r="A191">
        <v>61</v>
      </c>
      <c r="B191" s="3">
        <f t="shared" si="14"/>
        <v>0.48479116018153789</v>
      </c>
      <c r="C191">
        <f>COS(RADIANS(A191))^cosn!$B$15</f>
        <v>0.48480962024633711</v>
      </c>
      <c r="D191">
        <f t="shared" si="16"/>
        <v>-1.8460064799219467E-5</v>
      </c>
      <c r="E191">
        <f t="shared" si="17"/>
        <v>0.99996192306417142</v>
      </c>
      <c r="F191">
        <v>60.5</v>
      </c>
      <c r="G191">
        <f t="shared" si="18"/>
        <v>0.49242356010346711</v>
      </c>
      <c r="H191">
        <f t="shared" si="15"/>
        <v>0.24248096254497289</v>
      </c>
    </row>
    <row r="192" spans="1:8" x14ac:dyDescent="0.3">
      <c r="A192">
        <v>62</v>
      </c>
      <c r="B192" s="3">
        <f t="shared" si="14"/>
        <v>0.46945368674732108</v>
      </c>
      <c r="C192">
        <f>COS(RADIANS(A192))^cosn!$B$15</f>
        <v>0.46947156278589086</v>
      </c>
      <c r="D192">
        <f t="shared" si="16"/>
        <v>-1.7876038569786257E-5</v>
      </c>
      <c r="E192">
        <f t="shared" si="17"/>
        <v>0.99996192306417087</v>
      </c>
      <c r="F192">
        <v>61.5</v>
      </c>
      <c r="G192">
        <f t="shared" si="18"/>
        <v>0.47715876025960841</v>
      </c>
      <c r="H192">
        <f t="shared" si="15"/>
        <v>0.22768048249248646</v>
      </c>
    </row>
    <row r="193" spans="1:8" x14ac:dyDescent="0.3">
      <c r="A193">
        <v>63</v>
      </c>
      <c r="B193" s="3">
        <f t="shared" si="14"/>
        <v>0.45397321317242173</v>
      </c>
      <c r="C193">
        <f>COS(RADIANS(A193))^cosn!$B$15</f>
        <v>0.4539904997395468</v>
      </c>
      <c r="D193">
        <f t="shared" si="16"/>
        <v>-1.728656712507437E-5</v>
      </c>
      <c r="E193">
        <f t="shared" si="17"/>
        <v>0.99996192306417209</v>
      </c>
      <c r="F193">
        <v>62.5</v>
      </c>
      <c r="G193">
        <f t="shared" si="18"/>
        <v>0.46174861323503386</v>
      </c>
      <c r="H193">
        <f t="shared" si="15"/>
        <v>0.21321178182447689</v>
      </c>
    </row>
    <row r="194" spans="1:8" x14ac:dyDescent="0.3">
      <c r="A194">
        <v>64</v>
      </c>
      <c r="B194" s="3">
        <f t="shared" si="14"/>
        <v>0.4383544549590519</v>
      </c>
      <c r="C194">
        <f>COS(RADIANS(A194))^cosn!$B$15</f>
        <v>0.43837114678907746</v>
      </c>
      <c r="D194">
        <f t="shared" si="16"/>
        <v>-1.6691830025561405E-5</v>
      </c>
      <c r="E194">
        <f t="shared" si="17"/>
        <v>0.99996192306417098</v>
      </c>
      <c r="F194">
        <v>63.5</v>
      </c>
      <c r="G194">
        <f t="shared" si="18"/>
        <v>0.44619781310980872</v>
      </c>
      <c r="H194">
        <f t="shared" si="15"/>
        <v>0.19909248842397578</v>
      </c>
    </row>
    <row r="195" spans="1:8" x14ac:dyDescent="0.3">
      <c r="A195">
        <v>65</v>
      </c>
      <c r="B195" s="3">
        <f t="shared" ref="B195:B220" si="19">(H195-H196)/(($H$36+1)*(G195-G196))</f>
        <v>0.42260216973226677</v>
      </c>
      <c r="C195">
        <f>COS(RADIANS(A195))^cosn!$B$15</f>
        <v>0.42261826174069944</v>
      </c>
      <c r="D195">
        <f t="shared" si="16"/>
        <v>-1.609200843266656E-5</v>
      </c>
      <c r="E195">
        <f t="shared" si="17"/>
        <v>0.99996192306417053</v>
      </c>
      <c r="F195">
        <v>64.5</v>
      </c>
      <c r="G195">
        <f t="shared" si="18"/>
        <v>0.43051109680829525</v>
      </c>
      <c r="H195">
        <f t="shared" si="15"/>
        <v>0.18533980447508136</v>
      </c>
    </row>
    <row r="196" spans="1:8" x14ac:dyDescent="0.3">
      <c r="A196">
        <v>66</v>
      </c>
      <c r="B196" s="3">
        <f t="shared" si="19"/>
        <v>0.40672115579074297</v>
      </c>
      <c r="C196">
        <f>COS(RADIANS(A196))^cosn!$B$15</f>
        <v>0.40673664307580021</v>
      </c>
      <c r="D196">
        <f t="shared" si="16"/>
        <v>-1.5487285057236289E-5</v>
      </c>
      <c r="E196">
        <f t="shared" si="17"/>
        <v>0.99996192306417209</v>
      </c>
      <c r="F196">
        <v>65.5</v>
      </c>
      <c r="G196">
        <f t="shared" si="18"/>
        <v>0.41469324265623914</v>
      </c>
      <c r="H196">
        <f t="shared" si="15"/>
        <v>0.17197048550474645</v>
      </c>
    </row>
    <row r="197" spans="1:8" x14ac:dyDescent="0.3">
      <c r="A197">
        <v>67</v>
      </c>
      <c r="B197" s="3">
        <f t="shared" si="19"/>
        <v>0.39071625064516785</v>
      </c>
      <c r="C197">
        <f>COS(RADIANS(A197))^cosn!$B$15</f>
        <v>0.39073112848927372</v>
      </c>
      <c r="D197">
        <f t="shared" si="16"/>
        <v>-1.4877844105865012E-5</v>
      </c>
      <c r="E197">
        <f t="shared" si="17"/>
        <v>0.99996192306417109</v>
      </c>
      <c r="F197">
        <v>66.5</v>
      </c>
      <c r="G197">
        <f t="shared" si="18"/>
        <v>0.39874906892524625</v>
      </c>
      <c r="H197">
        <f t="shared" si="15"/>
        <v>0.15900081996875079</v>
      </c>
    </row>
    <row r="198" spans="1:8" x14ac:dyDescent="0.3">
      <c r="A198">
        <v>68</v>
      </c>
      <c r="B198" s="3">
        <f t="shared" si="19"/>
        <v>0.37459232954469401</v>
      </c>
      <c r="C198">
        <f>COS(RADIANS(A198))^cosn!$B$15</f>
        <v>0.37460659341591196</v>
      </c>
      <c r="D198">
        <f t="shared" si="16"/>
        <v>-1.4263871217945479E-5</v>
      </c>
      <c r="E198">
        <f t="shared" si="17"/>
        <v>0.99996192306417275</v>
      </c>
      <c r="F198">
        <v>67.5</v>
      </c>
      <c r="G198">
        <f t="shared" si="18"/>
        <v>0.38268343236508984</v>
      </c>
      <c r="H198">
        <f t="shared" si="15"/>
        <v>0.1464466094067263</v>
      </c>
    </row>
    <row r="199" spans="1:8" x14ac:dyDescent="0.3">
      <c r="A199">
        <v>69</v>
      </c>
      <c r="B199" s="3">
        <f t="shared" si="19"/>
        <v>0.35835430399188228</v>
      </c>
      <c r="C199">
        <f>COS(RADIANS(A199))^cosn!$B$15</f>
        <v>0.35836794954530038</v>
      </c>
      <c r="D199">
        <f t="shared" si="16"/>
        <v>-1.3645553418095702E-5</v>
      </c>
      <c r="E199">
        <f t="shared" si="17"/>
        <v>0.99996192306417075</v>
      </c>
      <c r="F199">
        <v>68.5</v>
      </c>
      <c r="G199">
        <f t="shared" si="18"/>
        <v>0.3665012267242973</v>
      </c>
      <c r="H199">
        <f t="shared" ref="H199:H221" si="20">G199^($H$36+1)</f>
        <v>0.13432314919041477</v>
      </c>
    </row>
    <row r="200" spans="1:8" x14ac:dyDescent="0.3">
      <c r="A200">
        <v>70</v>
      </c>
      <c r="B200" s="3">
        <f t="shared" si="19"/>
        <v>0.34200712024661895</v>
      </c>
      <c r="C200">
        <f>COS(RADIANS(A200))^cosn!$B$15</f>
        <v>0.34202014332566882</v>
      </c>
      <c r="D200">
        <f t="shared" si="16"/>
        <v>-1.302307904987865E-5</v>
      </c>
      <c r="E200">
        <f t="shared" si="17"/>
        <v>0.99996192306417031</v>
      </c>
      <c r="F200">
        <v>69.5</v>
      </c>
      <c r="G200">
        <f t="shared" si="18"/>
        <v>0.35020738125946743</v>
      </c>
      <c r="H200">
        <f t="shared" si="20"/>
        <v>0.12264520988861398</v>
      </c>
    </row>
    <row r="201" spans="1:8" x14ac:dyDescent="0.3">
      <c r="A201">
        <v>71</v>
      </c>
      <c r="B201" s="3">
        <f t="shared" si="19"/>
        <v>0.3255557578194318</v>
      </c>
      <c r="C201">
        <f>COS(RADIANS(A201))^cosn!$B$15</f>
        <v>0.32556815445715676</v>
      </c>
      <c r="D201">
        <f t="shared" si="16"/>
        <v>-1.2396637724954029E-5</v>
      </c>
      <c r="E201">
        <f t="shared" si="17"/>
        <v>0.99996192306417186</v>
      </c>
      <c r="F201">
        <v>70.5</v>
      </c>
      <c r="G201">
        <f t="shared" si="18"/>
        <v>0.3338068592337709</v>
      </c>
      <c r="H201">
        <f t="shared" si="20"/>
        <v>0.11142701927151455</v>
      </c>
    </row>
    <row r="202" spans="1:8" x14ac:dyDescent="0.3">
      <c r="A202">
        <v>72</v>
      </c>
      <c r="B202" s="3">
        <f t="shared" si="19"/>
        <v>0.30900522795468238</v>
      </c>
      <c r="C202">
        <f>COS(RADIANS(A202))^cosn!$B$15</f>
        <v>0.30901699437494745</v>
      </c>
      <c r="D202">
        <f t="shared" si="16"/>
        <v>-1.1766420265069133E-5</v>
      </c>
      <c r="E202">
        <f t="shared" si="17"/>
        <v>0.99996192306417042</v>
      </c>
      <c r="F202">
        <v>71.5</v>
      </c>
      <c r="G202">
        <f t="shared" si="18"/>
        <v>0.31730465640509209</v>
      </c>
      <c r="H202">
        <f t="shared" si="20"/>
        <v>0.10068224497635354</v>
      </c>
    </row>
    <row r="203" spans="1:8" x14ac:dyDescent="0.3">
      <c r="A203">
        <v>73</v>
      </c>
      <c r="B203" s="3">
        <f t="shared" si="19"/>
        <v>0.29236057210409816</v>
      </c>
      <c r="C203">
        <f>COS(RADIANS(A203))^cosn!$B$15</f>
        <v>0.29237170472273677</v>
      </c>
      <c r="D203">
        <f t="shared" si="16"/>
        <v>-1.1132618638609593E-5</v>
      </c>
      <c r="E203">
        <f t="shared" si="17"/>
        <v>0.99996192306417209</v>
      </c>
      <c r="F203">
        <v>72.5</v>
      </c>
      <c r="G203">
        <f t="shared" si="18"/>
        <v>0.30070579950427306</v>
      </c>
      <c r="H203">
        <f t="shared" si="20"/>
        <v>9.0423977855504073E-2</v>
      </c>
    </row>
    <row r="204" spans="1:8" x14ac:dyDescent="0.3">
      <c r="A204">
        <v>74</v>
      </c>
      <c r="B204" s="3">
        <f t="shared" si="19"/>
        <v>0.27562686039108958</v>
      </c>
      <c r="C204">
        <f>COS(RADIANS(A204))^cosn!$B$15</f>
        <v>0.27563735581699916</v>
      </c>
      <c r="D204">
        <f t="shared" si="16"/>
        <v>-1.0495425909584633E-5</v>
      </c>
      <c r="E204">
        <f t="shared" si="17"/>
        <v>0.99996192306417075</v>
      </c>
      <c r="F204">
        <v>73.5</v>
      </c>
      <c r="G204">
        <f t="shared" si="18"/>
        <v>0.28401534470392276</v>
      </c>
      <c r="H204">
        <f t="shared" si="20"/>
        <v>8.0664716027288058E-2</v>
      </c>
    </row>
    <row r="205" spans="1:8" x14ac:dyDescent="0.3">
      <c r="A205">
        <v>75</v>
      </c>
      <c r="B205" s="3">
        <f t="shared" si="19"/>
        <v>0.25880919006634923</v>
      </c>
      <c r="C205">
        <f>COS(RADIANS(A205))^cosn!$B$15</f>
        <v>0.25881904510252074</v>
      </c>
      <c r="D205">
        <f t="shared" si="16"/>
        <v>-9.8550361715132873E-6</v>
      </c>
      <c r="E205">
        <f t="shared" si="17"/>
        <v>0.99996192306417164</v>
      </c>
      <c r="F205">
        <v>74.5</v>
      </c>
      <c r="G205">
        <f t="shared" si="18"/>
        <v>0.26723837607825696</v>
      </c>
      <c r="H205">
        <f t="shared" si="20"/>
        <v>7.1416349648943903E-2</v>
      </c>
    </row>
    <row r="206" spans="1:8" x14ac:dyDescent="0.3">
      <c r="A206">
        <v>76</v>
      </c>
      <c r="B206" s="3">
        <f t="shared" si="19"/>
        <v>0.24191268395517354</v>
      </c>
      <c r="C206">
        <f>COS(RADIANS(A206))^cosn!$B$15</f>
        <v>0.24192189559966767</v>
      </c>
      <c r="D206">
        <f t="shared" si="16"/>
        <v>-9.2116444941336972E-6</v>
      </c>
      <c r="E206">
        <f t="shared" si="17"/>
        <v>0.99996192306417198</v>
      </c>
      <c r="F206">
        <v>75.5</v>
      </c>
      <c r="G206">
        <f t="shared" si="18"/>
        <v>0.2503800040544415</v>
      </c>
      <c r="H206">
        <f t="shared" si="20"/>
        <v>6.2690146430302143E-2</v>
      </c>
    </row>
    <row r="207" spans="1:8" x14ac:dyDescent="0.3">
      <c r="A207">
        <v>77</v>
      </c>
      <c r="B207" s="3">
        <f t="shared" si="19"/>
        <v>0.22494248889700413</v>
      </c>
      <c r="C207">
        <f>COS(RADIANS(A207))^cosn!$B$15</f>
        <v>0.22495105434386492</v>
      </c>
      <c r="D207">
        <f t="shared" si="16"/>
        <v>-8.5654468607865297E-6</v>
      </c>
      <c r="E207">
        <f t="shared" si="17"/>
        <v>0.99996192306417153</v>
      </c>
      <c r="F207">
        <v>76.5</v>
      </c>
      <c r="G207">
        <f t="shared" si="18"/>
        <v>0.23344536385590547</v>
      </c>
      <c r="H207">
        <f t="shared" si="20"/>
        <v>5.4496737905816099E-2</v>
      </c>
    </row>
    <row r="208" spans="1:8" x14ac:dyDescent="0.3">
      <c r="A208">
        <v>78</v>
      </c>
      <c r="B208" s="3">
        <f t="shared" si="19"/>
        <v>0.2079037741776501</v>
      </c>
      <c r="C208">
        <f>COS(RADIANS(A208))^cosn!$B$15</f>
        <v>0.20791169081775945</v>
      </c>
      <c r="D208">
        <f t="shared" si="16"/>
        <v>-7.9166401093511141E-6</v>
      </c>
      <c r="E208">
        <f t="shared" si="17"/>
        <v>0.99996192306417109</v>
      </c>
      <c r="F208">
        <v>77.5</v>
      </c>
      <c r="G208">
        <f t="shared" si="18"/>
        <v>0.2164396139381029</v>
      </c>
      <c r="H208">
        <f t="shared" si="20"/>
        <v>4.6846106481675032E-2</v>
      </c>
    </row>
    <row r="209" spans="1:8" x14ac:dyDescent="0.3">
      <c r="A209">
        <v>79</v>
      </c>
      <c r="B209" s="3">
        <f t="shared" si="19"/>
        <v>0.19080172995467232</v>
      </c>
      <c r="C209">
        <f>COS(RADIANS(A209))^cosn!$B$15</f>
        <v>0.19080899537654492</v>
      </c>
      <c r="D209">
        <f t="shared" si="16"/>
        <v>-7.2654218725987096E-6</v>
      </c>
      <c r="E209">
        <f t="shared" si="17"/>
        <v>0.99996192306417075</v>
      </c>
      <c r="F209">
        <v>78.5</v>
      </c>
      <c r="G209">
        <f t="shared" si="18"/>
        <v>0.19936793441719719</v>
      </c>
      <c r="H209">
        <f t="shared" si="20"/>
        <v>3.974757327377984E-2</v>
      </c>
    </row>
    <row r="210" spans="1:8" x14ac:dyDescent="0.3">
      <c r="A210">
        <v>80</v>
      </c>
      <c r="B210" s="3">
        <f t="shared" si="19"/>
        <v>0.17364156567641259</v>
      </c>
      <c r="C210">
        <f>COS(RADIANS(A210))^cosn!$B$15</f>
        <v>0.17364817766693041</v>
      </c>
      <c r="D210">
        <f t="shared" si="16"/>
        <v>-6.6119905178241289E-6</v>
      </c>
      <c r="E210">
        <f t="shared" si="17"/>
        <v>0.99996192306417109</v>
      </c>
      <c r="F210">
        <v>79.5</v>
      </c>
      <c r="G210">
        <f t="shared" si="18"/>
        <v>0.18223552549214744</v>
      </c>
      <c r="H210">
        <f t="shared" si="20"/>
        <v>3.3209786751399122E-2</v>
      </c>
    </row>
    <row r="211" spans="1:8" x14ac:dyDescent="0.3">
      <c r="A211">
        <v>81</v>
      </c>
      <c r="B211" s="3">
        <f t="shared" si="19"/>
        <v>0.15642850849514406</v>
      </c>
      <c r="C211">
        <f>COS(RADIANS(A211))^cosn!$B$15</f>
        <v>0.15643446504023092</v>
      </c>
      <c r="D211">
        <f t="shared" si="16"/>
        <v>-5.9565450868659386E-6</v>
      </c>
      <c r="E211">
        <f t="shared" si="17"/>
        <v>0.99996192306417042</v>
      </c>
      <c r="F211">
        <v>80.5</v>
      </c>
      <c r="G211">
        <f t="shared" si="18"/>
        <v>0.1650476058606776</v>
      </c>
      <c r="H211">
        <f t="shared" si="20"/>
        <v>2.7240712200341577E-2</v>
      </c>
    </row>
    <row r="212" spans="1:8" x14ac:dyDescent="0.3">
      <c r="A212">
        <v>82</v>
      </c>
      <c r="B212" s="3">
        <f t="shared" si="19"/>
        <v>0.13916780167483109</v>
      </c>
      <c r="C212">
        <f>COS(RADIANS(A212))^cosn!$B$15</f>
        <v>0.13917310096006547</v>
      </c>
      <c r="D212">
        <f t="shared" si="16"/>
        <v>-5.2992852343780594E-6</v>
      </c>
      <c r="E212">
        <f t="shared" si="17"/>
        <v>0.99996192306417098</v>
      </c>
      <c r="F212">
        <v>81.5</v>
      </c>
      <c r="G212">
        <f t="shared" si="18"/>
        <v>0.14780941112961055</v>
      </c>
      <c r="H212">
        <f t="shared" si="20"/>
        <v>2.1847622018482237E-2</v>
      </c>
    </row>
    <row r="213" spans="1:8" x14ac:dyDescent="0.3">
      <c r="A213">
        <v>83</v>
      </c>
      <c r="B213" s="3">
        <f t="shared" si="19"/>
        <v>0.12186470299397928</v>
      </c>
      <c r="C213">
        <f>COS(RADIANS(A213))^cosn!$B$15</f>
        <v>0.12186934340514749</v>
      </c>
      <c r="D213">
        <f t="shared" si="16"/>
        <v>-4.6404111682107896E-6</v>
      </c>
      <c r="E213">
        <f t="shared" si="17"/>
        <v>0.9999619230641722</v>
      </c>
      <c r="F213">
        <v>82.5</v>
      </c>
      <c r="G213">
        <f t="shared" si="18"/>
        <v>0.13052619222005171</v>
      </c>
      <c r="H213">
        <f t="shared" si="20"/>
        <v>1.7037086855465889E-2</v>
      </c>
    </row>
    <row r="214" spans="1:8" x14ac:dyDescent="0.3">
      <c r="A214">
        <v>84</v>
      </c>
      <c r="B214" s="3">
        <f t="shared" si="19"/>
        <v>0.10452448314406546</v>
      </c>
      <c r="C214">
        <f>COS(RADIANS(A214))^cosn!$B$15</f>
        <v>0.10452846326765346</v>
      </c>
      <c r="D214">
        <f t="shared" si="16"/>
        <v>-3.9801235880015939E-6</v>
      </c>
      <c r="E214">
        <f t="shared" si="17"/>
        <v>0.99996192306417242</v>
      </c>
      <c r="F214">
        <v>83.5</v>
      </c>
      <c r="G214">
        <f t="shared" si="18"/>
        <v>0.11320321376790683</v>
      </c>
      <c r="H214">
        <f t="shared" si="20"/>
        <v>1.2814967607382412E-2</v>
      </c>
    </row>
    <row r="215" spans="1:8" x14ac:dyDescent="0.3">
      <c r="A215">
        <v>85</v>
      </c>
      <c r="B215" s="3">
        <f t="shared" si="19"/>
        <v>8.7152424124034553E-2</v>
      </c>
      <c r="C215">
        <f>COS(RADIANS(A215))^cosn!$B$15</f>
        <v>8.7155742747658138E-2</v>
      </c>
      <c r="D215">
        <f t="shared" si="16"/>
        <v>-3.3186236235854816E-6</v>
      </c>
      <c r="E215">
        <f t="shared" si="17"/>
        <v>0.99996192306417264</v>
      </c>
      <c r="F215">
        <v>84.5</v>
      </c>
      <c r="G215">
        <f t="shared" si="18"/>
        <v>9.5845752520224065E-2</v>
      </c>
      <c r="H215">
        <f t="shared" si="20"/>
        <v>9.1864082761680382E-3</v>
      </c>
    </row>
    <row r="216" spans="1:8" x14ac:dyDescent="0.3">
      <c r="A216">
        <v>86</v>
      </c>
      <c r="B216" s="3">
        <f t="shared" si="19"/>
        <v>6.9753817631350953E-2</v>
      </c>
      <c r="C216">
        <f>COS(RADIANS(A216))^cosn!$B$15</f>
        <v>6.9756473744125233E-2</v>
      </c>
      <c r="D216">
        <f t="shared" si="16"/>
        <v>-2.6561127742796842E-6</v>
      </c>
      <c r="E216">
        <f t="shared" si="17"/>
        <v>0.99996192306417286</v>
      </c>
      <c r="F216">
        <v>85.5</v>
      </c>
      <c r="G216">
        <f t="shared" si="18"/>
        <v>7.8459095727844999E-2</v>
      </c>
      <c r="H216">
        <f t="shared" si="20"/>
        <v>6.1558297024311452E-3</v>
      </c>
    </row>
    <row r="217" spans="1:8" x14ac:dyDescent="0.3">
      <c r="A217">
        <v>87</v>
      </c>
      <c r="B217" s="3">
        <f t="shared" si="19"/>
        <v>5.233396345009645E-2</v>
      </c>
      <c r="C217">
        <f>COS(RADIANS(A217))^cosn!$B$15</f>
        <v>5.2335956242943966E-2</v>
      </c>
      <c r="D217">
        <f t="shared" si="16"/>
        <v>-1.9927928475160783E-6</v>
      </c>
      <c r="E217">
        <f t="shared" si="17"/>
        <v>0.99996192306416898</v>
      </c>
      <c r="F217">
        <v>86.5</v>
      </c>
      <c r="G217">
        <f t="shared" si="18"/>
        <v>6.1048539534856908E-2</v>
      </c>
      <c r="H217">
        <f t="shared" si="20"/>
        <v>3.7269241793389868E-3</v>
      </c>
    </row>
    <row r="218" spans="1:8" x14ac:dyDescent="0.3">
      <c r="A218">
        <v>88</v>
      </c>
      <c r="B218" s="3">
        <f t="shared" si="19"/>
        <v>3.4898167836604578E-2</v>
      </c>
      <c r="C218">
        <f>COS(RADIANS(A218))^cosn!$B$15</f>
        <v>3.489949670250108E-2</v>
      </c>
      <c r="D218">
        <f t="shared" si="16"/>
        <v>-1.3288658965021627E-6</v>
      </c>
      <c r="E218">
        <f t="shared" si="17"/>
        <v>0.9999619230641682</v>
      </c>
      <c r="F218">
        <v>87.5</v>
      </c>
      <c r="G218">
        <f t="shared" si="18"/>
        <v>4.3619387365336007E-2</v>
      </c>
      <c r="H218">
        <f t="shared" si="20"/>
        <v>1.9026509541272346E-3</v>
      </c>
    </row>
    <row r="219" spans="1:8" x14ac:dyDescent="0.3">
      <c r="A219">
        <v>89</v>
      </c>
      <c r="B219" s="3">
        <f t="shared" si="19"/>
        <v>1.7451741903123517E-2</v>
      </c>
      <c r="C219">
        <f>COS(RADIANS(A219))^cosn!$B$15</f>
        <v>1.7452406437283598E-2</v>
      </c>
      <c r="D219">
        <f t="shared" si="16"/>
        <v>-6.6453416008166455E-7</v>
      </c>
      <c r="E219">
        <f t="shared" si="17"/>
        <v>0.99996192306416487</v>
      </c>
      <c r="F219">
        <v>88.5</v>
      </c>
      <c r="G219">
        <f t="shared" si="18"/>
        <v>2.6176948307873139E-2</v>
      </c>
      <c r="H219">
        <f t="shared" si="20"/>
        <v>6.8523262271306235E-4</v>
      </c>
    </row>
    <row r="220" spans="1:8" x14ac:dyDescent="0.3">
      <c r="A220">
        <v>90</v>
      </c>
      <c r="B220" s="3">
        <f t="shared" si="19"/>
        <v>4.3632677491869786E-3</v>
      </c>
      <c r="C220">
        <f>COS(RADIANS(A220))^cosn!$B$15</f>
        <v>6.1257422745431001E-17</v>
      </c>
      <c r="D220">
        <f t="shared" si="16"/>
        <v>4.363267749186917E-3</v>
      </c>
      <c r="E220">
        <f t="shared" si="17"/>
        <v>71228392472852.141</v>
      </c>
      <c r="F220">
        <v>89.5</v>
      </c>
      <c r="G220">
        <f t="shared" si="18"/>
        <v>8.7265354983738965E-3</v>
      </c>
      <c r="H220">
        <f t="shared" si="20"/>
        <v>7.6152421804379753E-5</v>
      </c>
    </row>
    <row r="221" spans="1:8" x14ac:dyDescent="0.3">
      <c r="E221" t="e">
        <f t="shared" si="17"/>
        <v>#DIV/0!</v>
      </c>
      <c r="F221">
        <v>90</v>
      </c>
      <c r="G221">
        <f t="shared" si="18"/>
        <v>6.1257422745431001E-17</v>
      </c>
      <c r="H221">
        <f t="shared" si="20"/>
        <v>3.7524718414124473E-33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E324-85C4-47CE-B97D-95122BA0788E}">
  <dimension ref="A1:G95"/>
  <sheetViews>
    <sheetView workbookViewId="0"/>
  </sheetViews>
  <sheetFormatPr defaultColWidth="11.5546875" defaultRowHeight="14.4" x14ac:dyDescent="0.3"/>
  <cols>
    <col min="1" max="1" width="12.88671875" customWidth="1"/>
    <col min="3" max="3" width="13.5546875" customWidth="1"/>
  </cols>
  <sheetData>
    <row r="1" spans="1:7" x14ac:dyDescent="0.3">
      <c r="A1" t="s">
        <v>22</v>
      </c>
    </row>
    <row r="2" spans="1:7" x14ac:dyDescent="0.3">
      <c r="A2" t="s">
        <v>23</v>
      </c>
      <c r="B2" t="str">
        <f>"n = "&amp;FIXED(cosn!B15,2)</f>
        <v>n = 1.00</v>
      </c>
      <c r="C2" t="str">
        <f>"FWHM = "&amp;FIXED(cosn!B16,2)&amp;"°"</f>
        <v>FWHM = 120.00°</v>
      </c>
      <c r="D2" t="str">
        <f>"I/Phi = "&amp;FIXED(cosn!B18,3)&amp;" cd/lm"</f>
        <v>I/Phi = 0.318 cd/lm</v>
      </c>
    </row>
    <row r="3" spans="1:7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</row>
    <row r="4" spans="1:7" x14ac:dyDescent="0.3">
      <c r="A4" t="s">
        <v>31</v>
      </c>
      <c r="B4">
        <v>1</v>
      </c>
      <c r="C4">
        <v>90</v>
      </c>
      <c r="D4">
        <v>0</v>
      </c>
      <c r="E4">
        <v>0</v>
      </c>
      <c r="F4">
        <v>360</v>
      </c>
      <c r="G4">
        <v>90</v>
      </c>
    </row>
    <row r="5" spans="1:7" x14ac:dyDescent="0.3">
      <c r="A5" t="s">
        <v>24</v>
      </c>
      <c r="B5" t="s">
        <v>32</v>
      </c>
    </row>
    <row r="6" spans="1:7" x14ac:dyDescent="0.3">
      <c r="A6">
        <f>+cosn!R4</f>
        <v>8.7262032186417194E-3</v>
      </c>
    </row>
    <row r="7" spans="1:7" x14ac:dyDescent="0.3">
      <c r="A7">
        <f>+cosn!R5</f>
        <v>2.617595156989223E-2</v>
      </c>
    </row>
    <row r="8" spans="1:7" x14ac:dyDescent="0.3">
      <c r="A8">
        <f>+cosn!R6</f>
        <v>4.3617726472722523E-2</v>
      </c>
    </row>
    <row r="9" spans="1:7" x14ac:dyDescent="0.3">
      <c r="A9">
        <f>+cosn!R7</f>
        <v>6.1046214993534714E-2</v>
      </c>
    </row>
    <row r="10" spans="1:7" x14ac:dyDescent="0.3">
      <c r="A10">
        <f>+cosn!R8</f>
        <v>7.845610824589179E-2</v>
      </c>
    </row>
    <row r="11" spans="1:7" x14ac:dyDescent="0.3">
      <c r="A11">
        <f>+cosn!R9</f>
        <v>9.5842103007655804E-2</v>
      </c>
    </row>
    <row r="12" spans="1:7" x14ac:dyDescent="0.3">
      <c r="A12">
        <f>+cosn!R10</f>
        <v>0.11319890333640045</v>
      </c>
    </row>
    <row r="13" spans="1:7" x14ac:dyDescent="0.3">
      <c r="A13">
        <f>+cosn!R11</f>
        <v>0.13052122218260659</v>
      </c>
    </row>
    <row r="14" spans="1:7" x14ac:dyDescent="0.3">
      <c r="A14">
        <f>+cosn!R12</f>
        <v>0.14780378300014832</v>
      </c>
    </row>
    <row r="15" spans="1:7" x14ac:dyDescent="0.3">
      <c r="A15">
        <f>+cosn!R13</f>
        <v>0.16504132135358068</v>
      </c>
    </row>
    <row r="16" spans="1:7" x14ac:dyDescent="0.3">
      <c r="A16">
        <f>+cosn!R14</f>
        <v>0.18222858652173757</v>
      </c>
    </row>
    <row r="17" spans="1:1" x14ac:dyDescent="0.3">
      <c r="A17">
        <f>+cosn!R15</f>
        <v>0.19936034309715228</v>
      </c>
    </row>
    <row r="18" spans="1:1" x14ac:dyDescent="0.3">
      <c r="A18">
        <f>+cosn!R16</f>
        <v>0.21643137258081213</v>
      </c>
    </row>
    <row r="19" spans="1:1" x14ac:dyDescent="0.3">
      <c r="A19">
        <f>+cosn!R17</f>
        <v>0.23343647497176634</v>
      </c>
    </row>
    <row r="20" spans="1:1" x14ac:dyDescent="0.3">
      <c r="A20">
        <f>+cosn!R18</f>
        <v>0.25037047035109428</v>
      </c>
    </row>
    <row r="21" spans="1:1" x14ac:dyDescent="0.3">
      <c r="A21">
        <f>+cosn!R19</f>
        <v>0.26722820045976026</v>
      </c>
    </row>
    <row r="22" spans="1:1" x14ac:dyDescent="0.3">
      <c r="A22">
        <f>+cosn!R20</f>
        <v>0.28400453026986766</v>
      </c>
    </row>
    <row r="23" spans="1:1" x14ac:dyDescent="0.3">
      <c r="A23">
        <f>+cosn!R21</f>
        <v>0.30069434954884217</v>
      </c>
    </row>
    <row r="24" spans="1:1" x14ac:dyDescent="0.3">
      <c r="A24">
        <f>+cosn!R22</f>
        <v>0.31729257441605213</v>
      </c>
    </row>
    <row r="25" spans="1:1" x14ac:dyDescent="0.3">
      <c r="A25">
        <f>+cosn!R23</f>
        <v>0.33379414889141296</v>
      </c>
    </row>
    <row r="26" spans="1:1" x14ac:dyDescent="0.3">
      <c r="A26">
        <f>+cosn!R24</f>
        <v>0.35019404643548457</v>
      </c>
    </row>
    <row r="27" spans="1:1" x14ac:dyDescent="0.3">
      <c r="A27">
        <f>+cosn!R25</f>
        <v>0.36648727148060617</v>
      </c>
    </row>
    <row r="28" spans="1:1" x14ac:dyDescent="0.3">
      <c r="A28">
        <f>+cosn!R26</f>
        <v>0.38266886095259323</v>
      </c>
    </row>
    <row r="29" spans="1:1" x14ac:dyDescent="0.3">
      <c r="A29">
        <f>+cosn!R27</f>
        <v>0.39873388578253632</v>
      </c>
    </row>
    <row r="30" spans="1:1" x14ac:dyDescent="0.3">
      <c r="A30">
        <f>+cosn!R28</f>
        <v>0.41467745240825038</v>
      </c>
    </row>
    <row r="31" spans="1:1" x14ac:dyDescent="0.3">
      <c r="A31">
        <f>+cosn!R29</f>
        <v>0.43049470426488867</v>
      </c>
    </row>
    <row r="32" spans="1:1" x14ac:dyDescent="0.3">
      <c r="A32">
        <f>+cosn!R30</f>
        <v>0.44618082326431213</v>
      </c>
    </row>
    <row r="33" spans="1:1" x14ac:dyDescent="0.3">
      <c r="A33">
        <f>+cosn!R31</f>
        <v>0.46173103126271825</v>
      </c>
    </row>
    <row r="34" spans="1:1" x14ac:dyDescent="0.3">
      <c r="A34">
        <f>+cosn!R32</f>
        <v>0.47714059151611421</v>
      </c>
    </row>
    <row r="35" spans="1:1" x14ac:dyDescent="0.3">
      <c r="A35">
        <f>+cosn!R33</f>
        <v>0.49240481012316861</v>
      </c>
    </row>
    <row r="36" spans="1:1" x14ac:dyDescent="0.3">
      <c r="A36">
        <f>+cosn!R34</f>
        <v>0.50751903745502747</v>
      </c>
    </row>
    <row r="37" spans="1:1" x14ac:dyDescent="0.3">
      <c r="A37">
        <f>+cosn!R35</f>
        <v>0.52247866957162969</v>
      </c>
    </row>
    <row r="38" spans="1:1" x14ac:dyDescent="0.3">
      <c r="A38">
        <f>+cosn!R36</f>
        <v>0.53727914962411627</v>
      </c>
    </row>
    <row r="39" spans="1:1" x14ac:dyDescent="0.3">
      <c r="A39">
        <f>+cosn!R37</f>
        <v>0.55191596924288722</v>
      </c>
    </row>
    <row r="40" spans="1:1" x14ac:dyDescent="0.3">
      <c r="A40">
        <f>+cosn!R38</f>
        <v>0.56638466991089642</v>
      </c>
    </row>
    <row r="41" spans="1:1" x14ac:dyDescent="0.3">
      <c r="A41">
        <f>+cosn!R39</f>
        <v>0.58068084432175815</v>
      </c>
    </row>
    <row r="42" spans="1:1" x14ac:dyDescent="0.3">
      <c r="A42">
        <f>+cosn!R43</f>
        <v>0.5948001377222607</v>
      </c>
    </row>
    <row r="43" spans="1:1" x14ac:dyDescent="0.3">
      <c r="A43">
        <f>+cosn!R44</f>
        <v>0.608738249238854</v>
      </c>
    </row>
    <row r="44" spans="1:1" x14ac:dyDescent="0.3">
      <c r="A44">
        <f>+cosn!R45</f>
        <v>0.62249093318774873</v>
      </c>
    </row>
    <row r="45" spans="1:1" x14ac:dyDescent="0.3">
      <c r="A45">
        <f>+cosn!R46</f>
        <v>0.63605400036818682</v>
      </c>
    </row>
    <row r="46" spans="1:1" x14ac:dyDescent="0.3">
      <c r="A46">
        <f>+cosn!R47</f>
        <v>0.64942331933852326</v>
      </c>
    </row>
    <row r="47" spans="1:1" x14ac:dyDescent="0.3">
      <c r="A47">
        <f>+cosn!R48</f>
        <v>0.66259481767468364</v>
      </c>
    </row>
    <row r="48" spans="1:1" x14ac:dyDescent="0.3">
      <c r="A48">
        <f>+cosn!R49</f>
        <v>0.67556448321067764</v>
      </c>
    </row>
    <row r="49" spans="1:1" x14ac:dyDescent="0.3">
      <c r="A49">
        <f>+cosn!R50</f>
        <v>0.68832836526074992</v>
      </c>
    </row>
    <row r="50" spans="1:1" x14ac:dyDescent="0.3">
      <c r="A50">
        <f>+cosn!R51</f>
        <v>0.70088257582277302</v>
      </c>
    </row>
    <row r="51" spans="1:1" x14ac:dyDescent="0.3">
      <c r="A51">
        <f>+cosn!R52</f>
        <v>0.71322329076259805</v>
      </c>
    </row>
    <row r="52" spans="1:1" x14ac:dyDescent="0.3">
      <c r="A52">
        <f>+cosn!R53</f>
        <v>0.7253467509789121</v>
      </c>
    </row>
    <row r="53" spans="1:1" x14ac:dyDescent="0.3">
      <c r="A53">
        <f>+cosn!R54</f>
        <v>0.73724926354828135</v>
      </c>
    </row>
    <row r="54" spans="1:1" x14ac:dyDescent="0.3">
      <c r="A54">
        <f>+cosn!R55</f>
        <v>0.74892720285008318</v>
      </c>
    </row>
    <row r="55" spans="1:1" x14ac:dyDescent="0.3">
      <c r="A55">
        <f>+cosn!R56</f>
        <v>0.7603770116708749</v>
      </c>
    </row>
    <row r="56" spans="1:1" x14ac:dyDescent="0.3">
      <c r="A56">
        <f>+cosn!R57</f>
        <v>0.77159520228797385</v>
      </c>
    </row>
    <row r="57" spans="1:1" x14ac:dyDescent="0.3">
      <c r="A57">
        <f>+cosn!R58</f>
        <v>0.78257835753184457</v>
      </c>
    </row>
    <row r="58" spans="1:1" x14ac:dyDescent="0.3">
      <c r="A58">
        <f>+cosn!R59</f>
        <v>0.79332313182700898</v>
      </c>
    </row>
    <row r="59" spans="1:1" x14ac:dyDescent="0.3">
      <c r="A59">
        <f>+cosn!R60</f>
        <v>0.80382625221111925</v>
      </c>
    </row>
    <row r="60" spans="1:1" x14ac:dyDescent="0.3">
      <c r="A60">
        <f>+cosn!R61</f>
        <v>0.81408451933196857</v>
      </c>
    </row>
    <row r="61" spans="1:1" x14ac:dyDescent="0.3">
      <c r="A61">
        <f>+cosn!R62</f>
        <v>0.82409480842201754</v>
      </c>
    </row>
    <row r="62" spans="1:1" x14ac:dyDescent="0.3">
      <c r="A62">
        <f>+cosn!R63</f>
        <v>0.83385407025023728</v>
      </c>
    </row>
    <row r="63" spans="1:1" x14ac:dyDescent="0.3">
      <c r="A63">
        <f>+cosn!R64</f>
        <v>0.84335933205092328</v>
      </c>
    </row>
    <row r="64" spans="1:1" x14ac:dyDescent="0.3">
      <c r="A64">
        <f>+cosn!R65</f>
        <v>0.85260769842926931</v>
      </c>
    </row>
    <row r="65" spans="1:1" x14ac:dyDescent="0.3">
      <c r="A65">
        <f>+cosn!R66</f>
        <v>0.8615963522432748</v>
      </c>
    </row>
    <row r="66" spans="1:1" x14ac:dyDescent="0.3">
      <c r="A66">
        <f>+cosn!R67</f>
        <v>0.87032255546191495</v>
      </c>
    </row>
    <row r="67" spans="1:1" x14ac:dyDescent="0.3">
      <c r="A67">
        <f>+cosn!R68</f>
        <v>0.87878364999916403</v>
      </c>
    </row>
    <row r="68" spans="1:1" x14ac:dyDescent="0.3">
      <c r="A68">
        <f>+cosn!R69</f>
        <v>0.88697705852364983</v>
      </c>
    </row>
    <row r="69" spans="1:1" x14ac:dyDescent="0.3">
      <c r="A69">
        <f>+cosn!R70</f>
        <v>0.89490028524376308</v>
      </c>
    </row>
    <row r="70" spans="1:1" x14ac:dyDescent="0.3">
      <c r="A70">
        <f>+cosn!R71</f>
        <v>0.90255091666791043</v>
      </c>
    </row>
    <row r="71" spans="1:1" x14ac:dyDescent="0.3">
      <c r="A71">
        <f>+cosn!R72</f>
        <v>0.9099266223396214</v>
      </c>
    </row>
    <row r="72" spans="1:1" x14ac:dyDescent="0.3">
      <c r="A72">
        <f>+cosn!R73</f>
        <v>0.91702515554752451</v>
      </c>
    </row>
    <row r="73" spans="1:1" x14ac:dyDescent="0.3">
      <c r="A73">
        <f>+cosn!R74</f>
        <v>0.92384435400961618</v>
      </c>
    </row>
    <row r="74" spans="1:1" x14ac:dyDescent="0.3">
      <c r="A74">
        <f>+cosn!R75</f>
        <v>0.93038214053199286</v>
      </c>
    </row>
    <row r="75" spans="1:1" x14ac:dyDescent="0.3">
      <c r="A75">
        <f>+cosn!R76</f>
        <v>0.9366365236415507</v>
      </c>
    </row>
    <row r="76" spans="1:1" x14ac:dyDescent="0.3">
      <c r="A76">
        <f>+cosn!R77</f>
        <v>0.94260559819261258</v>
      </c>
    </row>
    <row r="77" spans="1:1" x14ac:dyDescent="0.3">
      <c r="A77">
        <f>+cosn!R78</f>
        <v>0.94828754594723697</v>
      </c>
    </row>
    <row r="78" spans="1:1" x14ac:dyDescent="0.3">
      <c r="A78">
        <f>+cosn!R79</f>
        <v>0.95368063612910148</v>
      </c>
    </row>
    <row r="79" spans="1:1" x14ac:dyDescent="0.3">
      <c r="A79">
        <f>+cosn!R80</f>
        <v>0.95878322595067045</v>
      </c>
    </row>
    <row r="80" spans="1:1" x14ac:dyDescent="0.3">
      <c r="A80">
        <f>+cosn!R81</f>
        <v>0.96359376111369899</v>
      </c>
    </row>
    <row r="81" spans="1:1" x14ac:dyDescent="0.3">
      <c r="A81">
        <f>+cosn!R82</f>
        <v>0.96811077628253073</v>
      </c>
    </row>
    <row r="82" spans="1:1" x14ac:dyDescent="0.3">
      <c r="A82">
        <f>+cosn!R83</f>
        <v>0.97233289553061175</v>
      </c>
    </row>
    <row r="83" spans="1:1" x14ac:dyDescent="0.3">
      <c r="A83">
        <f>+cosn!R84</f>
        <v>0.97625883275952896</v>
      </c>
    </row>
    <row r="84" spans="1:1" x14ac:dyDescent="0.3">
      <c r="A84">
        <f>+cosn!R85</f>
        <v>0.97988739209072273</v>
      </c>
    </row>
    <row r="85" spans="1:1" x14ac:dyDescent="0.3">
      <c r="A85">
        <f>+cosn!R86</f>
        <v>0.98321746822993905</v>
      </c>
    </row>
    <row r="86" spans="1:1" x14ac:dyDescent="0.3">
      <c r="A86">
        <f>+cosn!R87</f>
        <v>0.98624804680366596</v>
      </c>
    </row>
    <row r="87" spans="1:1" x14ac:dyDescent="0.3">
      <c r="A87">
        <f>+cosn!R88</f>
        <v>0.98897820466837083</v>
      </c>
    </row>
    <row r="88" spans="1:1" x14ac:dyDescent="0.3">
      <c r="A88">
        <f>+cosn!R89</f>
        <v>0.99140711019144911</v>
      </c>
    </row>
    <row r="89" spans="1:1" x14ac:dyDescent="0.3">
      <c r="A89">
        <f>+cosn!R90</f>
        <v>0.99353402350478759</v>
      </c>
    </row>
    <row r="90" spans="1:1" x14ac:dyDescent="0.3">
      <c r="A90">
        <f>+cosn!R91</f>
        <v>0.99535829673001008</v>
      </c>
    </row>
    <row r="91" spans="1:1" x14ac:dyDescent="0.3">
      <c r="A91">
        <f>+cosn!R92</f>
        <v>0.99687937417578554</v>
      </c>
    </row>
    <row r="92" spans="1:1" x14ac:dyDescent="0.3">
      <c r="A92">
        <f>+cosn!R93</f>
        <v>0.99809679250716821</v>
      </c>
    </row>
    <row r="93" spans="1:1" x14ac:dyDescent="0.3">
      <c r="A93">
        <f>+cosn!R94</f>
        <v>0.99901018088688431</v>
      </c>
    </row>
    <row r="94" spans="1:1" x14ac:dyDescent="0.3">
      <c r="A94">
        <f>+cosn!R95</f>
        <v>0.99961926108773136</v>
      </c>
    </row>
    <row r="95" spans="1:1" x14ac:dyDescent="0.3">
      <c r="A95">
        <f>+cosn!R96</f>
        <v>0.99992384757816044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cosn</vt:lpstr>
      <vt:lpstr>LightTools slice merit function</vt:lpstr>
      <vt:lpstr>LightTools apodization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Muschaweck</dc:creator>
  <cp:lastModifiedBy>Julius Muschaweck</cp:lastModifiedBy>
  <dcterms:created xsi:type="dcterms:W3CDTF">2018-12-19T19:08:01Z</dcterms:created>
  <dcterms:modified xsi:type="dcterms:W3CDTF">2025-10-13T11:02:21Z</dcterms:modified>
</cp:coreProperties>
</file>